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EstaPasta_de_trabalho" defaultThemeVersion="124226"/>
  <mc:AlternateContent xmlns:mc="http://schemas.openxmlformats.org/markup-compatibility/2006">
    <mc:Choice Requires="x15">
      <x15ac:absPath xmlns:x15ac="http://schemas.microsoft.com/office/spreadsheetml/2010/11/ac" url="https://petrobrasbr.sharepoint.com/teams/bdoc_AGP-RES-EE-GMP-GMP-JUB/Documentos Compartilhados/EE/Plataformas/P-57/P_JUB-27/BTPs/"/>
    </mc:Choice>
  </mc:AlternateContent>
  <xr:revisionPtr revIDLastSave="0" documentId="8_{D664C328-A1F3-4765-B783-3EA22CC119CF}" xr6:coauthVersionLast="47" xr6:coauthVersionMax="47" xr10:uidLastSave="{00000000-0000-0000-0000-000000000000}"/>
  <bookViews>
    <workbookView xWindow="19090" yWindow="-10850" windowWidth="38620" windowHeight="21820" xr2:uid="{00000000-000D-0000-FFFF-FFFF00000000}"/>
  </bookViews>
  <sheets>
    <sheet name="BTP_CORRIGIDO" sheetId="9" r:id="rId1"/>
    <sheet name="BTP_Original" sheetId="1" r:id="rId2"/>
    <sheet name="Tutorial" sheetId="5" r:id="rId3"/>
    <sheet name="Plan1" sheetId="6" r:id="rId4"/>
    <sheet name="vaporH2O" sheetId="7" r:id="rId5"/>
    <sheet name="Mascara_SIP" sheetId="8" r:id="rId6"/>
  </sheets>
  <functionGroups builtInGroupCount="19"/>
  <externalReferences>
    <externalReference r:id="rId7"/>
    <externalReference r:id="rId8"/>
    <externalReference r:id="rId9"/>
  </externalReferences>
  <definedNames>
    <definedName name="_xlnm.Print_Area" localSheetId="0">BTP_CORRIGIDO!$A$1:$BS$64</definedName>
    <definedName name="_xlnm.Print_Area" localSheetId="1">BTP_Original!$A$1:$BS$64</definedName>
    <definedName name="_xlnm.Print_Area" localSheetId="2">Tutorial!$A$1:$BS$61</definedName>
    <definedName name="BSWCALC">[2]Divulgador!$AH$8</definedName>
    <definedName name="FONTPOT">[2]Divulgador!$J$8</definedName>
    <definedName name="FREQBCSSIM">[2]Divulgador!$CT$8</definedName>
    <definedName name="IP_ABS">[2]Divulgador!$R$8</definedName>
    <definedName name="LimiteEst">[2]Divulgador!$T$8</definedName>
    <definedName name="Linha1">[2]Divulgador!$ED$11</definedName>
    <definedName name="Lista">OFFSET('[3]Consulta de Ocorrências'!$E$8,0,0,COUNTIF([3]!TbOcorrências[Lista Suspensa],"?*"),1)</definedName>
    <definedName name="ListaPoços" localSheetId="0">Lista2[POÇOS]</definedName>
    <definedName name="ListaPoços" localSheetId="4">[1]!Lista2[POÇOS]</definedName>
    <definedName name="ListaPoços">Lista2[POÇOS]</definedName>
    <definedName name="MetodElev">[2]Divulgador!$D$8</definedName>
    <definedName name="MetodIdeal">[2]Divulgador!$DN$8</definedName>
    <definedName name="MONINJMSPP">[2]Divulgador!$CN$8</definedName>
    <definedName name="MONMSPP">[2]Divulgador!$CF$8</definedName>
    <definedName name="MONUEPP">[2]Divulgador!$CJ$8</definedName>
    <definedName name="Motivo">[2]Divulgador!$N$8</definedName>
    <definedName name="NomePoco2">[2]Divulgador!$B$1</definedName>
    <definedName name="NumBTP">[2]Divulgador!$C$8</definedName>
    <definedName name="PADMISIM">[2]Divulgador!$CP$8</definedName>
    <definedName name="PDESC">[2]Divulgador!$BU$8</definedName>
    <definedName name="PDESCSIM">[2]Divulgador!$CR$8</definedName>
    <definedName name="PDGP">[2]Divulgador!$AJ$8</definedName>
    <definedName name="PDGSIMP">[2]Divulgador!$CB$8</definedName>
    <definedName name="PEST">[2]Divulgador!$Q$8</definedName>
    <definedName name="PESTRES">[2]Divulgador!$P$8</definedName>
    <definedName name="PGLJusMSP">[2]Divulgador!$BP$8</definedName>
    <definedName name="PGLJusUEP">[2]Divulgador!$BJ$8</definedName>
    <definedName name="PGLJusUEPSim">[2]Divulgador!$CL$8</definedName>
    <definedName name="PMonMSP">[2]Divulgador!$AO$8</definedName>
    <definedName name="PMonUEP">[2]Divulgador!$AT$8</definedName>
    <definedName name="PotencialProp">[2]Divulgador!$L$8</definedName>
    <definedName name="Pressao_Cabeca">[2]Leviatã!$L$6</definedName>
    <definedName name="Pressao1">[2]Divulgador!$EH$10</definedName>
    <definedName name="Pressao10">[2]Divulgador!$EK$15</definedName>
    <definedName name="Pressao11">[2]Divulgador!$EL$15</definedName>
    <definedName name="Pressao12">[2]Divulgador!$EJ$15</definedName>
    <definedName name="Pressao2">[2]Divulgador!$EI$10</definedName>
    <definedName name="Pressao3">[2]Divulgador!$EJ$10</definedName>
    <definedName name="Pressao4">[2]Divulgador!$EK$10</definedName>
    <definedName name="Pressao5">[2]Divulgador!$EL$10</definedName>
    <definedName name="Pressao6">[2]Divulgador!$EO$10</definedName>
    <definedName name="Pressao7">[2]Divulgador!$EP$10</definedName>
    <definedName name="Pressao8">[2]Divulgador!$EH$15</definedName>
    <definedName name="Pressao9">[2]Divulgador!$EI$15</definedName>
    <definedName name="PWF">[2]Divulgador!$S$8</definedName>
    <definedName name="PWFSim">[2]Divulgador!$CU$8</definedName>
    <definedName name="QGASLSIM">[2]Divulgador!$DE$8</definedName>
    <definedName name="QGL">[2]Divulgador!$AC$8</definedName>
    <definedName name="QliqIdeal">[2]Divulgador!$DS$8</definedName>
    <definedName name="QoleoIdeal">[2]Divulgador!$DT$8</definedName>
    <definedName name="RGO">[2]Divulgador!$AD$8</definedName>
    <definedName name="TPTP">[2]Divulgador!$AL$8</definedName>
    <definedName name="TPTSIMP">[2]Divulgador!$CD$8</definedName>
    <definedName name="ValorMax">[2]Divulgador!$U$8</definedName>
    <definedName name="VARIAVELA13">[2]Divulgador!$EQ$11</definedName>
    <definedName name="VARIAVELA14">[2]Divulgador!$ER$11</definedName>
    <definedName name="VARIAVELA15">[2]Divulgador!$ES$11</definedName>
    <definedName name="VARIAVELA16">[2]Divulgador!$ET$11</definedName>
    <definedName name="VARIAVELB5">[2]Divulgador!$EI$16</definedName>
    <definedName name="VARIAVELB8">[2]Divulgador!$EL$16</definedName>
    <definedName name="VARIAVELC1">[2]Divulgador!$EE$21</definedName>
    <definedName name="VARIAVELC2">[2]Divulgador!$EG$21</definedName>
    <definedName name="VARIAVELC4">[2]Divulgador!$EK$21</definedName>
    <definedName name="VARIAVELC5">[2]Divulgador!$EM$21</definedName>
    <definedName name="VARIAVELC7">[2]Divulgador!$EL$8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24" i="8" l="1"/>
  <c r="O124" i="8"/>
  <c r="H124" i="8"/>
  <c r="C124" i="8"/>
  <c r="AN127" i="8"/>
  <c r="AF159" i="8"/>
  <c r="AF153" i="8"/>
  <c r="AF147" i="8"/>
  <c r="AF141" i="8"/>
  <c r="BA120" i="8"/>
  <c r="BA127" i="8"/>
  <c r="AN120" i="8"/>
  <c r="AD127" i="8"/>
  <c r="AP81" i="8"/>
  <c r="AG81" i="8"/>
  <c r="AB81" i="8"/>
  <c r="U81" i="8"/>
  <c r="L81" i="8"/>
  <c r="D81" i="8"/>
  <c r="BG59" i="8"/>
  <c r="AZ59" i="8"/>
  <c r="Y46" i="8"/>
  <c r="T46" i="8"/>
  <c r="O46" i="8"/>
  <c r="C46" i="8"/>
  <c r="C6" i="8"/>
  <c r="AZ92" i="8"/>
  <c r="AZ85" i="8"/>
  <c r="AZ78" i="8"/>
  <c r="AJ54" i="8"/>
  <c r="AO49" i="8"/>
  <c r="AJ49" i="8"/>
  <c r="AO44" i="8"/>
  <c r="AJ44" i="8"/>
  <c r="M8" i="9"/>
  <c r="M6" i="9"/>
  <c r="M7" i="9"/>
  <c r="C59" i="9" s="1"/>
  <c r="U59" i="9"/>
  <c r="E59" i="9"/>
  <c r="E53" i="9"/>
  <c r="G53" i="9"/>
  <c r="H53" i="9"/>
  <c r="N53" i="9"/>
  <c r="V59" i="9" s="1"/>
  <c r="P53" i="9"/>
  <c r="Q53" i="9"/>
  <c r="W59" i="9" s="1"/>
  <c r="R53" i="9"/>
  <c r="X59" i="9" s="1"/>
  <c r="S53" i="9"/>
  <c r="T53" i="9"/>
  <c r="U53" i="9"/>
  <c r="V53" i="9"/>
  <c r="W53" i="9"/>
  <c r="S59" i="9" s="1"/>
  <c r="X53" i="9"/>
  <c r="Y53" i="9"/>
  <c r="Z53" i="9"/>
  <c r="AC53" i="9"/>
  <c r="L59" i="9" s="1"/>
  <c r="AM53" i="9"/>
  <c r="AN53" i="9"/>
  <c r="AO53" i="9"/>
  <c r="AR53" i="9"/>
  <c r="Y59" i="9" s="1"/>
  <c r="AU53" i="9"/>
  <c r="AW53" i="9"/>
  <c r="AZ53" i="9"/>
  <c r="BA53" i="9"/>
  <c r="BG53" i="9"/>
  <c r="BM53" i="9"/>
  <c r="BN53" i="9"/>
  <c r="BO53" i="9"/>
  <c r="BQ53" i="9"/>
  <c r="D53" i="9"/>
  <c r="B29" i="1"/>
  <c r="B30" i="1" s="1"/>
  <c r="C59" i="1"/>
  <c r="D105" i="7"/>
  <c r="S125" i="7"/>
  <c r="S124" i="7"/>
  <c r="S123" i="7"/>
  <c r="R114" i="7"/>
  <c r="S114" i="7"/>
  <c r="R113" i="7"/>
  <c r="S113" i="7"/>
  <c r="R112" i="7"/>
  <c r="T112" i="7"/>
  <c r="R111" i="7"/>
  <c r="T111" i="7"/>
  <c r="R110" i="7"/>
  <c r="S110" i="7"/>
  <c r="R109" i="7"/>
  <c r="S109" i="7"/>
  <c r="R108" i="7"/>
  <c r="T108" i="7"/>
  <c r="R107" i="7"/>
  <c r="S107" i="7"/>
  <c r="R106" i="7"/>
  <c r="S106" i="7"/>
  <c r="R105" i="7"/>
  <c r="S105" i="7"/>
  <c r="P95" i="7"/>
  <c r="O95" i="7"/>
  <c r="P94" i="7"/>
  <c r="O94" i="7"/>
  <c r="P93" i="7"/>
  <c r="O93" i="7"/>
  <c r="P92" i="7"/>
  <c r="O92" i="7"/>
  <c r="P91" i="7"/>
  <c r="N98" i="7" a="1"/>
  <c r="P100" i="7"/>
  <c r="O91" i="7"/>
  <c r="P90" i="7"/>
  <c r="O90" i="7"/>
  <c r="P89" i="7"/>
  <c r="O89" i="7"/>
  <c r="N54" i="7"/>
  <c r="N55" i="7"/>
  <c r="T113" i="7"/>
  <c r="S108" i="7"/>
  <c r="T106" i="7"/>
  <c r="T107" i="7"/>
  <c r="T110" i="7"/>
  <c r="T114" i="7"/>
  <c r="T105" i="7"/>
  <c r="S112" i="7"/>
  <c r="T109" i="7"/>
  <c r="N98" i="7"/>
  <c r="N99" i="7"/>
  <c r="N100" i="7"/>
  <c r="S111" i="7"/>
  <c r="Q98" i="7"/>
  <c r="Q99" i="7"/>
  <c r="Q100" i="7"/>
  <c r="O98" i="7"/>
  <c r="O99" i="7"/>
  <c r="O100" i="7"/>
  <c r="P98" i="7"/>
  <c r="P99" i="7"/>
  <c r="O118" i="7" a="1"/>
  <c r="Q119" i="7"/>
  <c r="R95" i="7"/>
  <c r="R91" i="7"/>
  <c r="R92" i="7"/>
  <c r="R89" i="7"/>
  <c r="R94" i="7"/>
  <c r="R90" i="7"/>
  <c r="R93" i="7"/>
  <c r="O119" i="7"/>
  <c r="P118" i="7"/>
  <c r="P119" i="7"/>
  <c r="R120" i="7"/>
  <c r="O118" i="7"/>
  <c r="Q120" i="7"/>
  <c r="O120" i="7"/>
  <c r="R118" i="7"/>
  <c r="P120" i="7"/>
  <c r="R119" i="7"/>
  <c r="Q118" i="7"/>
  <c r="E105" i="7"/>
  <c r="F105" i="7"/>
  <c r="E109" i="7"/>
  <c r="F109" i="7"/>
  <c r="M8" i="1"/>
  <c r="BP53" i="1"/>
  <c r="BL53" i="1"/>
  <c r="BF53" i="1"/>
  <c r="AX53" i="1"/>
  <c r="AV53" i="1"/>
  <c r="AF53" i="1"/>
  <c r="AE53" i="1"/>
  <c r="W53" i="1"/>
  <c r="S59" i="1" s="1"/>
  <c r="F53" i="1"/>
  <c r="AB67" i="1"/>
  <c r="Q67" i="1"/>
  <c r="BQ67" i="1"/>
  <c r="BQ68" i="1"/>
  <c r="BM68" i="1"/>
  <c r="AG67" i="1"/>
  <c r="AE67" i="1"/>
  <c r="AD67" i="1"/>
  <c r="AC67" i="1"/>
  <c r="AA67" i="1"/>
  <c r="BG68" i="1"/>
  <c r="AW68" i="1"/>
  <c r="BS67" i="1"/>
  <c r="BR67" i="1"/>
  <c r="AU67" i="1"/>
  <c r="AT67" i="1"/>
  <c r="AS67" i="1"/>
  <c r="AR67" i="1"/>
  <c r="AQ67" i="1"/>
  <c r="AO67" i="1"/>
  <c r="AN67" i="1"/>
  <c r="AM67" i="1"/>
  <c r="R67" i="1"/>
  <c r="N67" i="1"/>
  <c r="H67" i="1"/>
  <c r="G67" i="1"/>
  <c r="F67" i="1"/>
  <c r="E67" i="1"/>
  <c r="D67" i="1"/>
  <c r="BS68" i="1"/>
  <c r="Y68" i="1"/>
  <c r="AA68" i="1"/>
  <c r="F68" i="1"/>
  <c r="AT68" i="1"/>
  <c r="S68" i="1"/>
  <c r="AD68" i="1"/>
  <c r="AZ68" i="1"/>
  <c r="AG68" i="1"/>
  <c r="Q68" i="1"/>
  <c r="U68" i="1"/>
  <c r="AN68" i="1"/>
  <c r="AR68" i="1"/>
  <c r="AB68" i="1"/>
  <c r="T68" i="1"/>
  <c r="AF68" i="1"/>
  <c r="E68" i="1"/>
  <c r="BC68" i="1"/>
  <c r="P68" i="1"/>
  <c r="X68" i="1"/>
  <c r="Z68" i="1"/>
  <c r="AS68" i="1"/>
  <c r="AQ68" i="1"/>
  <c r="V68" i="1"/>
  <c r="BA68" i="1"/>
  <c r="G68" i="1"/>
  <c r="R68" i="1"/>
  <c r="AU68" i="1"/>
  <c r="AC68" i="1"/>
  <c r="H68" i="1"/>
  <c r="BR68" i="1"/>
  <c r="N68" i="1"/>
  <c r="D68" i="1"/>
  <c r="AO68" i="1"/>
  <c r="AE68" i="1"/>
  <c r="AM68" i="1"/>
  <c r="BB68" i="1"/>
  <c r="W68" i="1"/>
  <c r="AW12" i="1"/>
  <c r="AW11" i="1"/>
  <c r="E13" i="1"/>
  <c r="E10" i="1"/>
  <c r="E15" i="1"/>
  <c r="E14" i="1"/>
  <c r="R21" i="6"/>
  <c r="Q21" i="6"/>
  <c r="R20" i="6"/>
  <c r="Q20" i="6"/>
  <c r="R19" i="6"/>
  <c r="Q19" i="6"/>
  <c r="R18" i="6"/>
  <c r="Q18" i="6"/>
  <c r="R17" i="6"/>
  <c r="Q17" i="6"/>
  <c r="R16" i="6"/>
  <c r="Q16" i="6"/>
  <c r="R15" i="6"/>
  <c r="Q15" i="6"/>
  <c r="R14" i="6"/>
  <c r="Q14" i="6"/>
  <c r="R13" i="6"/>
  <c r="Q13" i="6"/>
  <c r="R12" i="6"/>
  <c r="Q12" i="6"/>
  <c r="R11" i="6"/>
  <c r="Q11" i="6"/>
  <c r="R10" i="6"/>
  <c r="Q10" i="6"/>
  <c r="R9" i="6"/>
  <c r="Q9" i="6"/>
  <c r="R8" i="6"/>
  <c r="Q8" i="6"/>
  <c r="R7" i="6"/>
  <c r="Q7" i="6"/>
  <c r="R6" i="6"/>
  <c r="Q6" i="6"/>
  <c r="R5" i="6"/>
  <c r="Q5" i="6"/>
  <c r="R4" i="6"/>
  <c r="Q4" i="6"/>
  <c r="BQ29" i="1"/>
  <c r="BM29" i="1"/>
  <c r="H59" i="9" l="1"/>
  <c r="G59" i="9"/>
  <c r="Y29" i="1"/>
  <c r="AC29" i="1"/>
  <c r="B31" i="1"/>
  <c r="AZ29" i="1"/>
  <c r="BG29" i="1"/>
  <c r="AW29" i="1"/>
  <c r="BA29" i="1"/>
  <c r="AW30" i="1"/>
  <c r="BG30" i="1"/>
  <c r="BA30" i="1"/>
  <c r="BM30" i="1"/>
  <c r="AZ30" i="1"/>
  <c r="BQ30" i="1"/>
  <c r="N59" i="9" l="1"/>
  <c r="K59" i="9"/>
  <c r="I59" i="9" s="1"/>
  <c r="F59" i="9"/>
  <c r="Q59" i="9" s="1"/>
  <c r="AC30" i="1"/>
  <c r="U29" i="1"/>
  <c r="V29" i="1"/>
  <c r="X29" i="1"/>
  <c r="V30" i="1"/>
  <c r="U30" i="1"/>
  <c r="X30" i="1"/>
  <c r="Y30" i="1"/>
  <c r="H74" i="1"/>
  <c r="H75" i="1"/>
  <c r="B32" i="1"/>
  <c r="AW31" i="1"/>
  <c r="BA31" i="1"/>
  <c r="BM31" i="1"/>
  <c r="AZ31" i="1"/>
  <c r="BQ31" i="1"/>
  <c r="BG31" i="1"/>
  <c r="P59" i="9" l="1"/>
  <c r="O59" i="9"/>
  <c r="M59" i="9"/>
  <c r="Y31" i="1"/>
  <c r="X31" i="1"/>
  <c r="V31" i="1"/>
  <c r="U31" i="1"/>
  <c r="AC31" i="1"/>
  <c r="B33" i="1"/>
  <c r="BG32" i="1"/>
  <c r="AW32" i="1"/>
  <c r="BM32" i="1"/>
  <c r="AZ32" i="1"/>
  <c r="BA32" i="1"/>
  <c r="BQ32" i="1"/>
  <c r="X32" i="1" l="1"/>
  <c r="U32" i="1"/>
  <c r="V32" i="1"/>
  <c r="Y32" i="1"/>
  <c r="AC32" i="1"/>
  <c r="B34" i="1"/>
  <c r="BQ33" i="1"/>
  <c r="BA33" i="1"/>
  <c r="AZ33" i="1"/>
  <c r="BM33" i="1"/>
  <c r="BG33" i="1"/>
  <c r="AW33" i="1"/>
  <c r="Y33" i="1" l="1"/>
  <c r="AC33" i="1"/>
  <c r="X33" i="1"/>
  <c r="B35" i="1"/>
  <c r="U33" i="1"/>
  <c r="V33" i="1"/>
  <c r="BM34" i="1"/>
  <c r="BQ34" i="1"/>
  <c r="BG34" i="1"/>
  <c r="AW34" i="1"/>
  <c r="BA34" i="1"/>
  <c r="AZ34" i="1"/>
  <c r="X34" i="1" l="1"/>
  <c r="Y34" i="1"/>
  <c r="V34" i="1"/>
  <c r="U34" i="1"/>
  <c r="AC34" i="1"/>
  <c r="B36" i="1"/>
  <c r="BQ35" i="1"/>
  <c r="BM35" i="1"/>
  <c r="BA35" i="1"/>
  <c r="AW35" i="1"/>
  <c r="BG35" i="1"/>
  <c r="AZ35" i="1"/>
  <c r="AC35" i="1" l="1"/>
  <c r="Y35" i="1"/>
  <c r="X35" i="1"/>
  <c r="B37" i="1"/>
  <c r="U35" i="1"/>
  <c r="V35" i="1"/>
  <c r="AZ36" i="1"/>
  <c r="AW36" i="1"/>
  <c r="BA36" i="1"/>
  <c r="BG36" i="1"/>
  <c r="BQ36" i="1"/>
  <c r="BM36" i="1"/>
  <c r="Y36" i="1" l="1"/>
  <c r="X36" i="1"/>
  <c r="B38" i="1"/>
  <c r="AC36" i="1"/>
  <c r="U36" i="1"/>
  <c r="V36" i="1"/>
  <c r="AW37" i="1"/>
  <c r="BQ37" i="1"/>
  <c r="BG37" i="1"/>
  <c r="BM37" i="1"/>
  <c r="AZ37" i="1"/>
  <c r="BA37" i="1"/>
  <c r="Y37" i="1" l="1"/>
  <c r="AC37" i="1"/>
  <c r="X37" i="1"/>
  <c r="U37" i="1"/>
  <c r="V37" i="1"/>
  <c r="B39" i="1"/>
  <c r="AZ38" i="1"/>
  <c r="BQ38" i="1"/>
  <c r="BG38" i="1"/>
  <c r="AW38" i="1"/>
  <c r="BM38" i="1"/>
  <c r="BA38" i="1"/>
  <c r="Y38" i="1" l="1"/>
  <c r="X38" i="1"/>
  <c r="AC38" i="1"/>
  <c r="V38" i="1"/>
  <c r="U38" i="1"/>
  <c r="B40" i="1"/>
  <c r="AZ39" i="1"/>
  <c r="BQ39" i="1"/>
  <c r="AW39" i="1"/>
  <c r="BA39" i="1"/>
  <c r="BM39" i="1"/>
  <c r="BG39" i="1"/>
  <c r="X39" i="1" l="1"/>
  <c r="Y39" i="1"/>
  <c r="AC39" i="1"/>
  <c r="AW40" i="1"/>
  <c r="BA40" i="1"/>
  <c r="B41" i="1"/>
  <c r="BG40" i="1"/>
  <c r="X40" i="1" s="1"/>
  <c r="BQ40" i="1"/>
  <c r="AC40" i="1" s="1"/>
  <c r="AZ40" i="1"/>
  <c r="BM40" i="1"/>
  <c r="Y40" i="1" s="1"/>
  <c r="V39" i="1"/>
  <c r="U39" i="1"/>
  <c r="BQ41" i="1" l="1"/>
  <c r="AC41" i="1" s="1"/>
  <c r="AZ41" i="1"/>
  <c r="B42" i="1"/>
  <c r="BM41" i="1"/>
  <c r="Y41" i="1" s="1"/>
  <c r="AW41" i="1"/>
  <c r="BA41" i="1"/>
  <c r="BG41" i="1"/>
  <c r="X41" i="1" s="1"/>
  <c r="V40" i="1"/>
  <c r="U40" i="1"/>
  <c r="B43" i="1" l="1"/>
  <c r="BG42" i="1"/>
  <c r="X42" i="1" s="1"/>
  <c r="BM42" i="1"/>
  <c r="Y42" i="1" s="1"/>
  <c r="BQ42" i="1"/>
  <c r="AC42" i="1" s="1"/>
  <c r="AW42" i="1"/>
  <c r="BA42" i="1"/>
  <c r="AZ42" i="1"/>
  <c r="U41" i="1"/>
  <c r="V41" i="1"/>
  <c r="V42" i="1" l="1"/>
  <c r="U42" i="1"/>
  <c r="AZ43" i="1"/>
  <c r="BR43" i="1"/>
  <c r="BQ43" i="1"/>
  <c r="AC43" i="1" s="1"/>
  <c r="BS43" i="1"/>
  <c r="AW43" i="1"/>
  <c r="BM43" i="1"/>
  <c r="Y43" i="1" s="1"/>
  <c r="B44" i="1"/>
  <c r="BA43" i="1"/>
  <c r="BG43" i="1"/>
  <c r="X43" i="1" s="1"/>
  <c r="U43" i="1" l="1"/>
  <c r="V43" i="1"/>
  <c r="BG44" i="1"/>
  <c r="X44" i="1" s="1"/>
  <c r="AW44" i="1"/>
  <c r="BM44" i="1"/>
  <c r="Y44" i="1" s="1"/>
  <c r="BR44" i="1"/>
  <c r="BS44" i="1"/>
  <c r="BA44" i="1"/>
  <c r="B45" i="1"/>
  <c r="BQ44" i="1"/>
  <c r="AC44" i="1" s="1"/>
  <c r="AZ44" i="1"/>
  <c r="U44" i="1" l="1"/>
  <c r="V44" i="1"/>
  <c r="BA45" i="1"/>
  <c r="BM45" i="1"/>
  <c r="Y45" i="1" s="1"/>
  <c r="AZ45" i="1"/>
  <c r="BS45" i="1"/>
  <c r="B46" i="1"/>
  <c r="AW45" i="1"/>
  <c r="BQ45" i="1"/>
  <c r="AC45" i="1" s="1"/>
  <c r="BG45" i="1"/>
  <c r="X45" i="1" s="1"/>
  <c r="BR45" i="1"/>
  <c r="U45" i="1" l="1"/>
  <c r="V45" i="1"/>
  <c r="AW46" i="1"/>
  <c r="B47" i="1"/>
  <c r="BQ46" i="1"/>
  <c r="AC46" i="1" s="1"/>
  <c r="BA46" i="1"/>
  <c r="BR46" i="1"/>
  <c r="BS46" i="1"/>
  <c r="BM46" i="1"/>
  <c r="Y46" i="1" s="1"/>
  <c r="AZ46" i="1"/>
  <c r="BG46" i="1"/>
  <c r="X46" i="1" s="1"/>
  <c r="AW47" i="1" l="1"/>
  <c r="BR47" i="1"/>
  <c r="BQ47" i="1"/>
  <c r="AC47" i="1" s="1"/>
  <c r="BS47" i="1"/>
  <c r="AZ47" i="1"/>
  <c r="B48" i="1"/>
  <c r="BA47" i="1"/>
  <c r="BM47" i="1"/>
  <c r="Y47" i="1" s="1"/>
  <c r="BG47" i="1"/>
  <c r="X47" i="1" s="1"/>
  <c r="U46" i="1"/>
  <c r="V46" i="1"/>
  <c r="AW48" i="1" l="1"/>
  <c r="B49" i="1"/>
  <c r="BG48" i="1"/>
  <c r="X48" i="1" s="1"/>
  <c r="BA48" i="1"/>
  <c r="BS48" i="1"/>
  <c r="BM48" i="1"/>
  <c r="Y48" i="1" s="1"/>
  <c r="BQ48" i="1"/>
  <c r="AC48" i="1" s="1"/>
  <c r="BR48" i="1"/>
  <c r="AZ48" i="1"/>
  <c r="V47" i="1"/>
  <c r="U47" i="1"/>
  <c r="B50" i="1" l="1"/>
  <c r="BA49" i="1"/>
  <c r="AZ49" i="1"/>
  <c r="BQ49" i="1"/>
  <c r="AC49" i="1" s="1"/>
  <c r="BS49" i="1"/>
  <c r="AW49" i="1"/>
  <c r="BM49" i="1"/>
  <c r="Y49" i="1" s="1"/>
  <c r="BG49" i="1"/>
  <c r="X49" i="1" s="1"/>
  <c r="BR49" i="1"/>
  <c r="U48" i="1"/>
  <c r="V48" i="1"/>
  <c r="U49" i="1" l="1"/>
  <c r="V49" i="1"/>
  <c r="B51" i="1"/>
  <c r="BM50" i="1"/>
  <c r="Y50" i="1" s="1"/>
  <c r="BQ50" i="1"/>
  <c r="AC50" i="1" s="1"/>
  <c r="AZ50" i="1"/>
  <c r="BR50" i="1"/>
  <c r="BA50" i="1"/>
  <c r="AW50" i="1"/>
  <c r="BG50" i="1"/>
  <c r="X50" i="1" s="1"/>
  <c r="BS50" i="1"/>
  <c r="AW51" i="1" l="1"/>
  <c r="BM51" i="1"/>
  <c r="Y51" i="1" s="1"/>
  <c r="BQ51" i="1"/>
  <c r="AC51" i="1" s="1"/>
  <c r="B52" i="1"/>
  <c r="BS51" i="1"/>
  <c r="BG51" i="1"/>
  <c r="X51" i="1" s="1"/>
  <c r="BR51" i="1"/>
  <c r="AG53" i="1"/>
  <c r="BA51" i="1"/>
  <c r="AZ51" i="1"/>
  <c r="V50" i="1"/>
  <c r="U50" i="1"/>
  <c r="U51" i="1" l="1"/>
  <c r="V51" i="1"/>
  <c r="AW52" i="1"/>
  <c r="AD53" i="1"/>
  <c r="U59" i="1" s="1"/>
  <c r="H53" i="1"/>
  <c r="AR53" i="1"/>
  <c r="BG52" i="1"/>
  <c r="T53" i="1"/>
  <c r="C105" i="7" s="1"/>
  <c r="D53" i="1"/>
  <c r="S53" i="1"/>
  <c r="B105" i="7" s="1"/>
  <c r="B107" i="7" s="1"/>
  <c r="BO53" i="1"/>
  <c r="AO53" i="1"/>
  <c r="BN53" i="1"/>
  <c r="AU53" i="1"/>
  <c r="AQ53" i="1"/>
  <c r="P53" i="1"/>
  <c r="BS52" i="1"/>
  <c r="BS53" i="1" s="1"/>
  <c r="AB53" i="1"/>
  <c r="BM52" i="1"/>
  <c r="AN53" i="1"/>
  <c r="AZ52" i="1"/>
  <c r="AZ53" i="1" s="1"/>
  <c r="BA52" i="1"/>
  <c r="BA53" i="1" s="1"/>
  <c r="BQ52" i="1"/>
  <c r="Q53" i="1"/>
  <c r="W59" i="1" s="1"/>
  <c r="AA53" i="1"/>
  <c r="AM53" i="1"/>
  <c r="AP53" i="1"/>
  <c r="R53" i="1"/>
  <c r="X59" i="1" s="1"/>
  <c r="AT53" i="1"/>
  <c r="BR52" i="1"/>
  <c r="BR53" i="1" s="1"/>
  <c r="E53" i="1"/>
  <c r="AS53" i="1"/>
  <c r="G53" i="1"/>
  <c r="E59" i="1"/>
  <c r="AC52" i="1" l="1"/>
  <c r="AC53" i="1" s="1"/>
  <c r="L59" i="1" s="1"/>
  <c r="BQ53" i="1"/>
  <c r="P45" i="7"/>
  <c r="P41" i="7"/>
  <c r="P47" i="7"/>
  <c r="N41" i="7"/>
  <c r="P42" i="7"/>
  <c r="N47" i="7"/>
  <c r="P46" i="7"/>
  <c r="P44" i="7"/>
  <c r="P43" i="7"/>
  <c r="N45" i="7"/>
  <c r="N46" i="7"/>
  <c r="N40" i="7"/>
  <c r="N44" i="7"/>
  <c r="N43" i="7"/>
  <c r="N42" i="7"/>
  <c r="P40" i="7"/>
  <c r="F75" i="1"/>
  <c r="N53" i="1"/>
  <c r="V59" i="1" s="1"/>
  <c r="F74" i="1"/>
  <c r="X52" i="1"/>
  <c r="X53" i="1" s="1"/>
  <c r="BG53" i="1"/>
  <c r="Y52" i="1"/>
  <c r="Y53" i="1" s="1"/>
  <c r="BM53" i="1"/>
  <c r="U52" i="1"/>
  <c r="U53" i="1" s="1"/>
  <c r="V52" i="1"/>
  <c r="V53" i="1" s="1"/>
  <c r="AW53" i="1"/>
  <c r="C107" i="7"/>
  <c r="J74" i="1" l="1"/>
  <c r="J75" i="1"/>
  <c r="N48" i="7"/>
  <c r="G59" i="1"/>
  <c r="E74" i="1"/>
  <c r="E75" i="1"/>
  <c r="H59" i="1"/>
  <c r="P48" i="7"/>
  <c r="G105" i="7" l="1"/>
  <c r="H105" i="7" s="1"/>
  <c r="I105" i="7" s="1"/>
  <c r="J105" i="7" s="1"/>
  <c r="AD9" i="1" s="1"/>
  <c r="K59" i="1" s="1"/>
  <c r="I59" i="1" s="1"/>
  <c r="M59" i="1" s="1"/>
  <c r="F59" i="1"/>
  <c r="N59" i="1" s="1"/>
  <c r="Q59" i="1" l="1"/>
  <c r="O59" i="1"/>
  <c r="P5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Telmar Freitas Castro</author>
    <author>Rodrigo Silva Goncalves</author>
  </authors>
  <commentList>
    <comment ref="BP29" authorId="0" shapeId="0" xr:uid="{B7A25511-1747-4AE7-9C84-A1CA8B393882}">
      <text>
        <r>
          <rPr>
            <b/>
            <sz val="9"/>
            <color indexed="81"/>
            <rFont val="Tahoma"/>
            <family val="2"/>
          </rPr>
          <t>GROSS VOLUME DA PLANILHA GD (IHM)</t>
        </r>
      </text>
    </comment>
    <comment ref="BR29" authorId="0" shapeId="0" xr:uid="{E7447715-FA25-46C9-96B9-4C69AA4DB019}">
      <text>
        <r>
          <rPr>
            <b/>
            <sz val="9"/>
            <color indexed="81"/>
            <rFont val="Tahoma"/>
            <family val="2"/>
          </rPr>
          <t>GROSS VOLUME DA PLANILHA GD (IHM)</t>
        </r>
      </text>
    </comment>
    <comment ref="BS29" authorId="0" shapeId="0" xr:uid="{C0DF1D9D-0840-4778-97E3-E33EE2025089}">
      <text>
        <r>
          <rPr>
            <b/>
            <sz val="9"/>
            <color indexed="81"/>
            <rFont val="Tahoma"/>
            <family val="2"/>
          </rPr>
          <t>GROSS VOLUME DA PLANILHA GD (IHM)</t>
        </r>
      </text>
    </comment>
    <comment ref="U58" authorId="1" shapeId="0" xr:uid="{D7985ABC-DCCE-4257-8425-7C6C8CCFFECE}">
      <text>
        <r>
          <rPr>
            <b/>
            <sz val="9"/>
            <color indexed="81"/>
            <rFont val="Segoe UI"/>
            <family val="2"/>
          </rPr>
          <t>No SIP Teste, este valor deverá ser preenchido no campo Prev.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Telmar Freitas Castro</author>
    <author>Rodrigo Silva Goncalves</author>
  </authors>
  <commentList>
    <comment ref="BP29" authorId="0" shapeId="0" xr:uid="{00000000-0006-0000-0000-000001000000}">
      <text>
        <r>
          <rPr>
            <b/>
            <sz val="9"/>
            <color indexed="81"/>
            <rFont val="Tahoma"/>
            <family val="2"/>
          </rPr>
          <t>GROSS VOLUME DA PLANILHA GD (IHM)</t>
        </r>
      </text>
    </comment>
    <comment ref="BR29" authorId="0" shapeId="0" xr:uid="{00000000-0006-0000-0000-000002000000}">
      <text>
        <r>
          <rPr>
            <b/>
            <sz val="9"/>
            <color indexed="81"/>
            <rFont val="Tahoma"/>
            <family val="2"/>
          </rPr>
          <t>GROSS VOLUME DA PLANILHA GD (IHM)</t>
        </r>
      </text>
    </comment>
    <comment ref="BS29" authorId="0" shapeId="0" xr:uid="{00000000-0006-0000-0000-000003000000}">
      <text>
        <r>
          <rPr>
            <b/>
            <sz val="9"/>
            <color indexed="81"/>
            <rFont val="Tahoma"/>
            <family val="2"/>
          </rPr>
          <t>GROSS VOLUME DA PLANILHA GD (IHM)</t>
        </r>
      </text>
    </comment>
    <comment ref="U58" authorId="1" shapeId="0" xr:uid="{00000000-0006-0000-0000-000004000000}">
      <text>
        <r>
          <rPr>
            <b/>
            <sz val="9"/>
            <color indexed="81"/>
            <rFont val="Segoe UI"/>
            <family val="2"/>
          </rPr>
          <t>No SIP Teste, este valor deverá ser preenchido no campo Prev.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Rodrigo Silva Goncalves</author>
  </authors>
  <commentList>
    <comment ref="T55" authorId="0" shapeId="0" xr:uid="{00000000-0006-0000-0100-000001000000}">
      <text>
        <r>
          <rPr>
            <b/>
            <sz val="9"/>
            <color indexed="81"/>
            <rFont val="Segoe UI"/>
            <family val="2"/>
          </rPr>
          <t>No SIP Teste, este valor deverá ser preenchido no campo Prev.</t>
        </r>
      </text>
    </comment>
  </commentList>
</comments>
</file>

<file path=xl/sharedStrings.xml><?xml version="1.0" encoding="utf-8"?>
<sst xmlns="http://schemas.openxmlformats.org/spreadsheetml/2006/main" count="3613" uniqueCount="1138">
  <si>
    <t>B O L E T I M   D E   T E S T E   D E   P R O D U Ç Ã O</t>
  </si>
  <si>
    <t>Dados Gerais do Teste</t>
  </si>
  <si>
    <t>Informações do Teste</t>
  </si>
  <si>
    <t>Análise e Dados Gerais</t>
  </si>
  <si>
    <t>Identificação dos Equipamentos do Sistema de Medição</t>
  </si>
  <si>
    <t>Data e hora de alinhamento do poço:</t>
  </si>
  <si>
    <t>Número de BRA de Cromatografia do Gás Lift:</t>
  </si>
  <si>
    <t>N2 (%)</t>
  </si>
  <si>
    <t>Densidade do gás coletado:</t>
  </si>
  <si>
    <t>N/A</t>
  </si>
  <si>
    <t>Agente regulado:</t>
  </si>
  <si>
    <t>PETROBRAS</t>
  </si>
  <si>
    <t>Data e hora de início do teste:</t>
  </si>
  <si>
    <t>Data da emissão do BRA de Cromatografia do Gás Lift:</t>
  </si>
  <si>
    <t>Magnésio:</t>
  </si>
  <si>
    <t>Densidade do gás do Gas Liift:</t>
  </si>
  <si>
    <t>Laboratório Químico</t>
  </si>
  <si>
    <t>Computador de Vazão (CV)</t>
  </si>
  <si>
    <t>Medição de Óleo</t>
  </si>
  <si>
    <t>Medição do Gás coletado</t>
  </si>
  <si>
    <t>Medição do Gás Lift</t>
  </si>
  <si>
    <t>Unidade de Operação/Ativo:</t>
  </si>
  <si>
    <t>UO-ES/ATP-JUB-CHT</t>
  </si>
  <si>
    <t>Data e hora de finalização do teste:</t>
  </si>
  <si>
    <t>Número de BRA de Cromatografia do Gás do Separador de Teste:</t>
  </si>
  <si>
    <t>Salinidade:</t>
  </si>
  <si>
    <t>Massa específica do óleo:</t>
  </si>
  <si>
    <t>Número de série da centrífuga:</t>
  </si>
  <si>
    <t>TAA7099</t>
  </si>
  <si>
    <t>TAG do CV de óleo:</t>
  </si>
  <si>
    <t>FC03</t>
  </si>
  <si>
    <t>TAG do medidor:</t>
  </si>
  <si>
    <t>T62-FT-071</t>
  </si>
  <si>
    <t>Tipo de elemento primário:</t>
  </si>
  <si>
    <t>placa de orifício</t>
  </si>
  <si>
    <t>UEP:</t>
  </si>
  <si>
    <t>PETROBRAS-57</t>
  </si>
  <si>
    <t>Duração do teste:</t>
  </si>
  <si>
    <t>h</t>
  </si>
  <si>
    <t>Data da emissão do BRA de Cromatografia do Gás do Separador de Teste:</t>
  </si>
  <si>
    <t>Teor de areia:</t>
  </si>
  <si>
    <t>Fator de encolhimento:</t>
  </si>
  <si>
    <t>Número de série do Karl Fisher:</t>
  </si>
  <si>
    <t>Número de série do CV de óleo:</t>
  </si>
  <si>
    <t>01903-201A</t>
  </si>
  <si>
    <t>Número de série do medidor:</t>
  </si>
  <si>
    <t>TAG do elemento primário:</t>
  </si>
  <si>
    <t>T71-FT-481</t>
  </si>
  <si>
    <t>T73-FT-061</t>
  </si>
  <si>
    <t>Número do BTP:</t>
  </si>
  <si>
    <t>Data e hora de elaboração do BTP:</t>
  </si>
  <si>
    <t>Número do BRA de óleo:</t>
  </si>
  <si>
    <t>Teor de vapor d'água no gás:</t>
  </si>
  <si>
    <t>Razão de solubilidade:</t>
  </si>
  <si>
    <t>Número de série do densímetro:</t>
  </si>
  <si>
    <t>TID6188B</t>
  </si>
  <si>
    <t>TAG do CV de gás coletado:</t>
  </si>
  <si>
    <t>FC05</t>
  </si>
  <si>
    <t>Fator de correção do medidor:</t>
  </si>
  <si>
    <t>Número de série do elemento primário:</t>
  </si>
  <si>
    <t>PO2018-MI-C-012</t>
  </si>
  <si>
    <t>PO2019-MI-C-019</t>
  </si>
  <si>
    <t>Campo:</t>
  </si>
  <si>
    <t>Configuração do CV:</t>
  </si>
  <si>
    <t>Configuração CV</t>
  </si>
  <si>
    <t>Data da emissão do BRA de óleo:</t>
  </si>
  <si>
    <t>Teor de água livre:</t>
  </si>
  <si>
    <t>CO2 do último teste:</t>
  </si>
  <si>
    <t>Número de série do termômetro:</t>
  </si>
  <si>
    <t>Número de série do CV de gás coletado:</t>
  </si>
  <si>
    <t>01923-201A</t>
  </si>
  <si>
    <t>TAG do PT:</t>
  </si>
  <si>
    <t>T62-PT-071</t>
  </si>
  <si>
    <t>Diâmetro do orifício da placa:</t>
  </si>
  <si>
    <t>59,90 mm</t>
  </si>
  <si>
    <t>35,46mm</t>
  </si>
  <si>
    <t>Poço:</t>
  </si>
  <si>
    <t>7-JUB-27HP-ESS</t>
  </si>
  <si>
    <t xml:space="preserve"> BSW</t>
  </si>
  <si>
    <t>TAG do CV do gás lift:</t>
  </si>
  <si>
    <t>Número de série do PT:</t>
  </si>
  <si>
    <t>TAG do DPT:</t>
  </si>
  <si>
    <t>T71-FT-481A</t>
  </si>
  <si>
    <t>Método de elevação:</t>
  </si>
  <si>
    <t>BCS/BCSS</t>
  </si>
  <si>
    <t>Método de análise:</t>
  </si>
  <si>
    <t>Centrifugação manual</t>
  </si>
  <si>
    <t>Dados do Equipamento de Bombeamento</t>
  </si>
  <si>
    <t>Analisador Online de BS&amp;W</t>
  </si>
  <si>
    <t>Número de série do CV do gás lift:</t>
  </si>
  <si>
    <t>TAG do TT:</t>
  </si>
  <si>
    <t>T62-TT-071</t>
  </si>
  <si>
    <t>Número de série do DPT:</t>
  </si>
  <si>
    <t>Coordenada X:</t>
  </si>
  <si>
    <t>UTM</t>
  </si>
  <si>
    <t>Saída de água do separador:</t>
  </si>
  <si>
    <t>aberta</t>
  </si>
  <si>
    <t>Bomba:</t>
  </si>
  <si>
    <t>M675A JUB48</t>
  </si>
  <si>
    <t>Tipo</t>
  </si>
  <si>
    <t>Vazão mínima:</t>
  </si>
  <si>
    <t>m³/d</t>
  </si>
  <si>
    <t>TAG do analisador:</t>
  </si>
  <si>
    <t>n/a</t>
  </si>
  <si>
    <t>TAG do CV de água:</t>
  </si>
  <si>
    <t>-</t>
  </si>
  <si>
    <t>Número de série do TT:</t>
  </si>
  <si>
    <t>TAG do DPT extensão:</t>
  </si>
  <si>
    <t>T71-FT-481B</t>
  </si>
  <si>
    <t>Coordenada Y:</t>
  </si>
  <si>
    <t>Potência do motor:</t>
  </si>
  <si>
    <t>HP</t>
  </si>
  <si>
    <t>Vazão máxima:</t>
  </si>
  <si>
    <t>Número de série do analisador:</t>
  </si>
  <si>
    <t>Número de série do CV de água:</t>
  </si>
  <si>
    <t>TAG do TE:</t>
  </si>
  <si>
    <t>T62-TE-071</t>
  </si>
  <si>
    <t>Número de série do DPT extensão:</t>
  </si>
  <si>
    <t>Lâmina d'água:</t>
  </si>
  <si>
    <t>m</t>
  </si>
  <si>
    <t>Dados do Reservatório</t>
  </si>
  <si>
    <t>Tensão:</t>
  </si>
  <si>
    <t>V</t>
  </si>
  <si>
    <t>SIB número:</t>
  </si>
  <si>
    <t>Número de série do TE:</t>
  </si>
  <si>
    <t>OP69921/15/1</t>
  </si>
  <si>
    <t>T71-PT-481</t>
  </si>
  <si>
    <t>T73-PT-061</t>
  </si>
  <si>
    <t>Vazão limite:</t>
  </si>
  <si>
    <t>Drawdown:</t>
  </si>
  <si>
    <t>kgf/cm²</t>
  </si>
  <si>
    <t>Corrente nominal:</t>
  </si>
  <si>
    <t>A</t>
  </si>
  <si>
    <t>Data de instalação:</t>
  </si>
  <si>
    <t>Amostrador Automático de Óleo</t>
  </si>
  <si>
    <t>Número de série do amostrador automático:</t>
  </si>
  <si>
    <t>Medição de Água</t>
  </si>
  <si>
    <t>T71-TT-481</t>
  </si>
  <si>
    <t>T73-TT-061</t>
  </si>
  <si>
    <t>Produtos Químicos</t>
  </si>
  <si>
    <t>T62-FT-023</t>
  </si>
  <si>
    <t>Vazão de agente desemulsificante:</t>
  </si>
  <si>
    <t>L/h</t>
  </si>
  <si>
    <t>T71-TE-481</t>
  </si>
  <si>
    <t>T73-TE-061</t>
  </si>
  <si>
    <t>Vazão de sequestrante de H2S:</t>
  </si>
  <si>
    <t>70437/3/1</t>
  </si>
  <si>
    <t>70437/8/1</t>
  </si>
  <si>
    <t>Vazão de antiespumante:</t>
  </si>
  <si>
    <t>placa gás</t>
  </si>
  <si>
    <t>PO2019-MI-C-038 59,900 mm</t>
  </si>
  <si>
    <t>Turbina óleo</t>
  </si>
  <si>
    <t>min.(m3)</t>
  </si>
  <si>
    <t>max.(m3)</t>
  </si>
  <si>
    <t>Identificação do trecho reto:</t>
  </si>
  <si>
    <t>T71-FY-481</t>
  </si>
  <si>
    <t>T73-FY-061</t>
  </si>
  <si>
    <t>Data/Hora</t>
  </si>
  <si>
    <t>Poço</t>
  </si>
  <si>
    <t>ANM</t>
  </si>
  <si>
    <t>Manifold Submarino</t>
  </si>
  <si>
    <t>Plataforma</t>
  </si>
  <si>
    <t>Manifold Submarino (Gás Lift)</t>
  </si>
  <si>
    <t>Bombeamento</t>
  </si>
  <si>
    <t>Medidores (Informações provinientes dos computadores de vazões)</t>
  </si>
  <si>
    <t>PDG</t>
  </si>
  <si>
    <t>TPT</t>
  </si>
  <si>
    <t>Produção</t>
  </si>
  <si>
    <t>Separador de Teste</t>
  </si>
  <si>
    <t>Injeção de Gás Lift</t>
  </si>
  <si>
    <t>Admissão</t>
  </si>
  <si>
    <t>Descarga</t>
  </si>
  <si>
    <t>Motor</t>
  </si>
  <si>
    <t>VSD/Transformador</t>
  </si>
  <si>
    <t>Óleo</t>
  </si>
  <si>
    <t>Água</t>
  </si>
  <si>
    <t>Gás coletado</t>
  </si>
  <si>
    <t>Gás Lift</t>
  </si>
  <si>
    <t>Montante</t>
  </si>
  <si>
    <t>Jusante</t>
  </si>
  <si>
    <t>Choke</t>
  </si>
  <si>
    <t>Separação</t>
  </si>
  <si>
    <t>Saída de Óleo</t>
  </si>
  <si>
    <t>Saída de Água</t>
  </si>
  <si>
    <t>Saída de Gás</t>
  </si>
  <si>
    <t>Medidor
 de Gás</t>
  </si>
  <si>
    <t>Análise</t>
  </si>
  <si>
    <t>Choke/FV</t>
  </si>
  <si>
    <t>Pressão</t>
  </si>
  <si>
    <t>Temp.</t>
  </si>
  <si>
    <t>PT Anular</t>
  </si>
  <si>
    <t>Abertura</t>
  </si>
  <si>
    <t>Vazão de  Óleo</t>
  </si>
  <si>
    <t>Vazão de Água</t>
  </si>
  <si>
    <t>BSW</t>
  </si>
  <si>
    <t>Vazão de
Gás</t>
  </si>
  <si>
    <r>
      <t>Teor H</t>
    </r>
    <r>
      <rPr>
        <vertAlign val="subscript"/>
        <sz val="12"/>
        <rFont val="Arial"/>
        <family val="2"/>
      </rPr>
      <t>2</t>
    </r>
    <r>
      <rPr>
        <sz val="12"/>
        <rFont val="Arial"/>
        <family val="2"/>
      </rPr>
      <t>S</t>
    </r>
  </si>
  <si>
    <t>Vazão de Gás Injetado</t>
  </si>
  <si>
    <t>Corrente</t>
  </si>
  <si>
    <t>Potência</t>
  </si>
  <si>
    <t>Tensão</t>
  </si>
  <si>
    <t>Frequência</t>
  </si>
  <si>
    <t>Vazão Bruta</t>
  </si>
  <si>
    <t>Vazão Bruta Corrigida</t>
  </si>
  <si>
    <t>Vazão Líquida de Óleo</t>
  </si>
  <si>
    <t>Vazão Líquida de Água</t>
  </si>
  <si>
    <t>CPL</t>
  </si>
  <si>
    <t>CTL</t>
  </si>
  <si>
    <t>CPL Água</t>
  </si>
  <si>
    <t>CTL Água</t>
  </si>
  <si>
    <t>bar</t>
  </si>
  <si>
    <t>°C</t>
  </si>
  <si>
    <t>1/64 pol</t>
  </si>
  <si>
    <t>%</t>
  </si>
  <si>
    <t>m³/h</t>
  </si>
  <si>
    <t>ppm</t>
  </si>
  <si>
    <t>kW</t>
  </si>
  <si>
    <t>kV</t>
  </si>
  <si>
    <t>Hz</t>
  </si>
  <si>
    <t>adimensional</t>
  </si>
  <si>
    <t>na</t>
  </si>
  <si>
    <t>Média</t>
  </si>
  <si>
    <t>Resultado do Teste</t>
  </si>
  <si>
    <t>Observação:</t>
  </si>
  <si>
    <t>Responsáveis</t>
  </si>
  <si>
    <t xml:space="preserve">Fator de calibração
(FatorK / Frequência): </t>
  </si>
  <si>
    <t>Função</t>
  </si>
  <si>
    <t>Chave</t>
  </si>
  <si>
    <t>Nome</t>
  </si>
  <si>
    <t>Assinatura</t>
  </si>
  <si>
    <t>Teste</t>
  </si>
  <si>
    <t>Data Final</t>
  </si>
  <si>
    <t>m³/d @ 20°C e 1 atm</t>
  </si>
  <si>
    <t>m³/m³</t>
  </si>
  <si>
    <t>Aprovador</t>
  </si>
  <si>
    <t>Duração</t>
  </si>
  <si>
    <t>Q Líquido</t>
  </si>
  <si>
    <t>Q Óleo</t>
  </si>
  <si>
    <t>Q Água</t>
  </si>
  <si>
    <t>Q Gás Produzido</t>
  </si>
  <si>
    <t>Q Gás Total</t>
  </si>
  <si>
    <t>Q gás lift</t>
  </si>
  <si>
    <t>RGO</t>
  </si>
  <si>
    <t>RGLI</t>
  </si>
  <si>
    <t>RGL</t>
  </si>
  <si>
    <t>RGLT</t>
  </si>
  <si>
    <t>BSW Calculado</t>
  </si>
  <si>
    <t>BSW Medido</t>
  </si>
  <si>
    <t>Pinjeção</t>
  </si>
  <si>
    <t>Pcab</t>
  </si>
  <si>
    <t>Tcab</t>
  </si>
  <si>
    <t>Resultado da análise de H2S obtido na BRA:</t>
  </si>
  <si>
    <t>Atual</t>
  </si>
  <si>
    <t>Anterior</t>
  </si>
  <si>
    <t>Justificativa de não cumprimento do cronograma de teste para o poço:</t>
  </si>
  <si>
    <t>Elaborador</t>
  </si>
  <si>
    <t>Engenheira de Produção</t>
  </si>
  <si>
    <t>N7RC</t>
  </si>
  <si>
    <t>Raphaela Caldas Miranda</t>
  </si>
  <si>
    <t>TAGs PI</t>
  </si>
  <si>
    <t>301072_T61_PSI_416A</t>
  </si>
  <si>
    <t>301072_T62_PSI_065</t>
  </si>
  <si>
    <t>301072_T62_TI_071_MED_HORA_ANT</t>
  </si>
  <si>
    <t>301072_T62_FQI_073_HORA_ANT</t>
  </si>
  <si>
    <t>301072_T71_FQI_481_CORRIGIDO_HORA_ANT</t>
  </si>
  <si>
    <t>301072_T62_FQI_071_BRUTO_CORRIGIDO_HORA_ANT</t>
  </si>
  <si>
    <t>301072_T62_PI_071_MED_HORA_ANT</t>
  </si>
  <si>
    <t>301072_T62_FI_010_CPL</t>
  </si>
  <si>
    <t>301072_T62_FI_010_CTL</t>
  </si>
  <si>
    <t>301072_T71_PI_481</t>
  </si>
  <si>
    <t>301072_T71_TI_481</t>
  </si>
  <si>
    <t>Descrição</t>
  </si>
  <si>
    <t>Critérios para validação de teste de poço (PE-5E600376-0)</t>
  </si>
  <si>
    <t>Qgás
+- 2%</t>
  </si>
  <si>
    <t>Qoleo</t>
  </si>
  <si>
    <t>Pmont
+-2 kgf/cm²</t>
  </si>
  <si>
    <t>Pjus gas lift
+- 2kgf/cm²</t>
  </si>
  <si>
    <t>Qgas lift
+- 5%</t>
  </si>
  <si>
    <t>Freq BCSS
+- 1Hz</t>
  </si>
  <si>
    <t>Qagua
+-2m³</t>
  </si>
  <si>
    <t>máximo</t>
  </si>
  <si>
    <t>mínimo</t>
  </si>
  <si>
    <t>Surgente</t>
  </si>
  <si>
    <t>Analisador online</t>
  </si>
  <si>
    <t>data e hora do alinhamento do poço para o separador de teste</t>
  </si>
  <si>
    <t>Auto-explicativo</t>
  </si>
  <si>
    <t>Cálcio:</t>
  </si>
  <si>
    <t>Centrifugação automática</t>
  </si>
  <si>
    <t>data e hora de início do teste</t>
  </si>
  <si>
    <t>Karl Fischer automática</t>
  </si>
  <si>
    <t>UO-BC/ATP-MRL</t>
  </si>
  <si>
    <t>data e hora do fim do teste</t>
  </si>
  <si>
    <t>Densidade do óleo:</t>
  </si>
  <si>
    <t xml:space="preserve"> P-26</t>
  </si>
  <si>
    <t>Duração do teste ( Início - Final)</t>
  </si>
  <si>
    <t>Karl Fischer manual</t>
  </si>
  <si>
    <t>Sequencial por poço</t>
  </si>
  <si>
    <t>Data e hora da Elaboração do BTP</t>
  </si>
  <si>
    <t>aberto</t>
  </si>
  <si>
    <t>ALBACORA</t>
  </si>
  <si>
    <t>fechado</t>
  </si>
  <si>
    <t>7-MRL-76DA-RJS</t>
  </si>
  <si>
    <t>medidor</t>
  </si>
  <si>
    <t>Podem ser 5 métodos: Analisador online, Centifugação automática, Karl Fischer Automático,Centifugação manual e Karl Fischer manual. 
Caso se escolha o analisador online, o medidor de oléo já entregará a Vazão Líquida de Óleo e a coluna BSW, na tabela abaixo, o valor virá do computador de vazão.
Para escolher os métodos Centifugação manual e Karl Fischer manual é necessário autorização prévia da ANP.</t>
  </si>
  <si>
    <t>No caso de separador trifásico é possível ter a saída de água fechada porém com água dentro da tubulaçao. Com isso podemos ter medições no medidor de água mesmo com a saída do separador fechada. Ou seja, quando colocamos a Saída de água do separador "aberta" os valores do medidor de água serão preenchidos normalmente e se a Saída de água do separador estiver "fechada" os valores medidos no medidor de água serão desconsiderados.</t>
  </si>
  <si>
    <t>Qualquer produto que seja injetado com esta finalidade. Ex: Etanol. Detalhar o produto nas observações</t>
  </si>
  <si>
    <t>Dado de projeto</t>
  </si>
  <si>
    <t>Qualquer produto que seja injetado com esse finalidade.</t>
  </si>
  <si>
    <t>Dados do Reservatório (dados não obrigatórios)</t>
  </si>
  <si>
    <t>Q Limite</t>
  </si>
  <si>
    <t>Vazão limite para o poço, definida pelo reservatório</t>
  </si>
  <si>
    <t>Drawdown</t>
  </si>
  <si>
    <t>drawdown limite para o poço, definida pelo reservatório</t>
  </si>
  <si>
    <t>Gás do separador de teste</t>
  </si>
  <si>
    <r>
      <t>Teor H</t>
    </r>
    <r>
      <rPr>
        <vertAlign val="subscript"/>
        <sz val="10"/>
        <rFont val="Arial"/>
        <family val="2"/>
      </rPr>
      <t>2</t>
    </r>
    <r>
      <rPr>
        <sz val="10"/>
        <rFont val="Arial"/>
        <family val="2"/>
      </rPr>
      <t>S</t>
    </r>
  </si>
  <si>
    <t>Ver abaixo</t>
  </si>
  <si>
    <t>Informações vindas do computador de vazão, sem qualquer tipo de alteração e cálculo. Caso não se consiga o CTL e CPL horário colocar o valor da média somente na linha do vampo média.</t>
  </si>
  <si>
    <t>Média dos valores no período do teste</t>
  </si>
  <si>
    <t>Pode ser em 1/64 ou em %, porém é necessário escolher a unidade correta no campo da unidade.</t>
  </si>
  <si>
    <t>É o medidor na saída de óleo, no caso do separador trifásico, ou a saída de líquido, no caso do separador bifásico.</t>
  </si>
  <si>
    <t>Saida de Água</t>
  </si>
  <si>
    <t>É o medidor na saída de água em separador trifásico.</t>
  </si>
  <si>
    <t>Vazão de Óleo</t>
  </si>
  <si>
    <t>É a vazão de óleo calculada, considerando o fator de encolhimento e o BSW. A fórmula utilizada precisa ser explicitada no campo observação e validada pela a gerência do E&amp;P-CORP/EEPIP/PMF.</t>
  </si>
  <si>
    <t>Vazão de água calculada na saída do medidor de água. A fórmula utilizada precisa ser explicitada no campo observação. A fórmula utilizada precisa ser explicitada no campo observação e validada pela a gerência do E&amp;P-CORP/EEPIP/PMF.</t>
  </si>
  <si>
    <t>Se o analisador for online preencher toda a coluna, senão prencher com os valores pontuais medidos no horários correspondentes e as céluas sem valor deverá ser preenchido com a média dessas medidas.</t>
  </si>
  <si>
    <t>Medidor de Gás</t>
  </si>
  <si>
    <t>É o medidor na saída de gás do separador</t>
  </si>
  <si>
    <t>É a vazão de água calculada à partir do BSW.A fórmula utilizada precisa ser explicitada no campo observação e válidada pela a gerência do E&amp;P-CORP/EEPIP/PMF.</t>
  </si>
  <si>
    <t xml:space="preserve">Vazão de Gás </t>
  </si>
  <si>
    <t>Vazão calculada na saída do medidor de gás. A fórmula utilizada precisa ser explicitada no campo observação e validada pela a gerência do E&amp;P-CORP/EEPIP/PMF.</t>
  </si>
  <si>
    <t>Teor de H2S para o controle, quando aplicável.</t>
  </si>
  <si>
    <t>Auto-Explicativo</t>
  </si>
  <si>
    <t>Data  Final</t>
  </si>
  <si>
    <t>Data final do teste</t>
  </si>
  <si>
    <t>=</t>
  </si>
  <si>
    <t>Data_e_hora_final - Data_e_hora_inicial</t>
  </si>
  <si>
    <t>Q_óleo + Q_água</t>
  </si>
  <si>
    <t xml:space="preserve"> </t>
  </si>
  <si>
    <t xml:space="preserve">Q_óleo_média_horaria * 24 </t>
  </si>
  <si>
    <t xml:space="preserve">( Q_água_medidor_óleo_média_horária * 24 + Q_água_medidor_água_média_horária * 24) </t>
  </si>
  <si>
    <t>Q_média_gás_total - Q_média_gas_lift</t>
  </si>
  <si>
    <t>Q_média_gás_separador_horaria * 24 * (1 - Vapor_de_água_no_gás) + Q_óleo * Rs</t>
  </si>
  <si>
    <t>Q_média_gás_lift_horaria * 24</t>
  </si>
  <si>
    <t>Q_gás_prod / Q_óleo</t>
  </si>
  <si>
    <t>Q_gás_lift / Q de líquido</t>
  </si>
  <si>
    <t>Q_gás_prod / Q de líquido</t>
  </si>
  <si>
    <t>(Q_gás_prod + Q_gás_lift) / Q de líquido</t>
  </si>
  <si>
    <t>Q_água / Q de Líquido</t>
  </si>
  <si>
    <t>média (BSW_horario_da_saída_do_medidor_óleo)</t>
  </si>
  <si>
    <t>média (Pj_choke_gas_lift_na_plataforma_horaria OU Pj_choke_gas_lift_no_manifold_horaria) (É a Prev no SIP-TESTE)</t>
  </si>
  <si>
    <t>média (Pm_choke_prod_na_plataforma_horaria OU Pm_choke_prod_no_manifold_horaria)</t>
  </si>
  <si>
    <t>média (Tm_choke_prod_na_plataforma_horaria OU Tm_choke_prod_no_manifold_horaria)</t>
  </si>
  <si>
    <t>média (Abertura_choke_prod_na_plataforma_horaria OU Abertura_choke_prod_no_manifold_horaria)</t>
  </si>
  <si>
    <t>média (Corrente_horaria)</t>
  </si>
  <si>
    <t>POÇOS</t>
  </si>
  <si>
    <t>LDA</t>
  </si>
  <si>
    <t>X</t>
  </si>
  <si>
    <t>Y</t>
  </si>
  <si>
    <t>AZIMUTE</t>
  </si>
  <si>
    <t>INÍCIO PROD</t>
  </si>
  <si>
    <t>COMP SRV (m)</t>
  </si>
  <si>
    <t>VOL SERV (m³)</t>
  </si>
  <si>
    <t>COMP PROD (m)</t>
  </si>
  <si>
    <t>VOL PROD (m³)</t>
  </si>
  <si>
    <t>COMP TOTAL</t>
  </si>
  <si>
    <t>VOL TOTAL (m³)</t>
  </si>
  <si>
    <t>COMP MOBO</t>
  </si>
  <si>
    <t>VOL MOBO</t>
  </si>
  <si>
    <t>Campo</t>
  </si>
  <si>
    <t>POÇOS2</t>
  </si>
  <si>
    <t>TAG do CV</t>
  </si>
  <si>
    <t>NS do CV</t>
  </si>
  <si>
    <t>TAG da Placa</t>
  </si>
  <si>
    <t>NS da placa</t>
  </si>
  <si>
    <t>Diâmetro da placa</t>
  </si>
  <si>
    <t>TAG do DPT</t>
  </si>
  <si>
    <t>NS do DPT</t>
  </si>
  <si>
    <t>TAG do PT</t>
  </si>
  <si>
    <t>NS do PT</t>
  </si>
  <si>
    <t>TAG do TT</t>
  </si>
  <si>
    <t>NS do TT</t>
  </si>
  <si>
    <t>TAG do TE</t>
  </si>
  <si>
    <t>NS do TE</t>
  </si>
  <si>
    <t>TAG do Trecho Reto</t>
  </si>
  <si>
    <t>Medidores do Separador de Teste</t>
  </si>
  <si>
    <t>3-ESS-110HPA</t>
  </si>
  <si>
    <t>Jubarte</t>
  </si>
  <si>
    <t>FC09</t>
  </si>
  <si>
    <t>01912-201A</t>
  </si>
  <si>
    <t>T73-FY-181</t>
  </si>
  <si>
    <t>HT.#0585846_ESS110</t>
  </si>
  <si>
    <t>33,000 mm</t>
  </si>
  <si>
    <t>T73-FT-281</t>
  </si>
  <si>
    <t>T73-PT-281</t>
  </si>
  <si>
    <t>T73-TT-281</t>
  </si>
  <si>
    <t>T73-TE-281</t>
  </si>
  <si>
    <t>70437/20/1</t>
  </si>
  <si>
    <t>T73-FY-281</t>
  </si>
  <si>
    <t>Gás</t>
  </si>
  <si>
    <t>7-JUB-11HP-ESS</t>
  </si>
  <si>
    <t>FC08</t>
  </si>
  <si>
    <t>01921-201A</t>
  </si>
  <si>
    <t>T73-FY-161</t>
  </si>
  <si>
    <t>HT.#0585846_JUB11</t>
  </si>
  <si>
    <t>32,990 mm</t>
  </si>
  <si>
    <t>T73-FT-221</t>
  </si>
  <si>
    <t>T73-PT-221</t>
  </si>
  <si>
    <t>T73-TT-221</t>
  </si>
  <si>
    <t>T73-TE-221</t>
  </si>
  <si>
    <t>70437/14/1</t>
  </si>
  <si>
    <t>T73-FY-221</t>
  </si>
  <si>
    <t>TAG</t>
  </si>
  <si>
    <t>NS</t>
  </si>
  <si>
    <t>Diâmetro</t>
  </si>
  <si>
    <t>7-JUB-13HP-ESS</t>
  </si>
  <si>
    <t>FC07</t>
  </si>
  <si>
    <t>01982-201A</t>
  </si>
  <si>
    <t>T73-FE-181</t>
  </si>
  <si>
    <t>PO4257/09-25</t>
  </si>
  <si>
    <t>35,440 mm</t>
  </si>
  <si>
    <t>T73-FT-181</t>
  </si>
  <si>
    <t>T73-PT-181</t>
  </si>
  <si>
    <t>T73-TT-181</t>
  </si>
  <si>
    <t>T73-TE-181</t>
  </si>
  <si>
    <t>70437/10/1</t>
  </si>
  <si>
    <t>T62-FT-071A</t>
  </si>
  <si>
    <t>HT # F2271</t>
  </si>
  <si>
    <t>111,51 mm</t>
  </si>
  <si>
    <t>T62_FQI_071_BRUTO_CORRIGIDO_HORA_ANT</t>
  </si>
  <si>
    <t>T62_FQI_073_HORA_ANT</t>
  </si>
  <si>
    <t>T71_FQI_481_CORRIGIDO_HORA_ANT</t>
  </si>
  <si>
    <t>T71_PI_481</t>
  </si>
  <si>
    <t>T71_TI_481</t>
  </si>
  <si>
    <t>T73_FQI_281_HORA_ANT</t>
  </si>
  <si>
    <t>7-JUB-14HA-ESS</t>
  </si>
  <si>
    <t>FC06</t>
  </si>
  <si>
    <t>01946-201A</t>
  </si>
  <si>
    <t>T73-FE-221</t>
  </si>
  <si>
    <t>PO4257/09-12</t>
  </si>
  <si>
    <t>35,452 mm</t>
  </si>
  <si>
    <t>T73-FT-001</t>
  </si>
  <si>
    <t>T73-PT-001</t>
  </si>
  <si>
    <t>T73-TT-001</t>
  </si>
  <si>
    <t>T73-TE-001</t>
  </si>
  <si>
    <t>70437/4/1</t>
  </si>
  <si>
    <t>T73-FY-001</t>
  </si>
  <si>
    <t>T62-FT-071B</t>
  </si>
  <si>
    <t>PO2017-SOP/OM-014</t>
  </si>
  <si>
    <t>59,862 mm</t>
  </si>
  <si>
    <t>T73_FQI_221_HORA_ANT</t>
  </si>
  <si>
    <t>7-JUB-16HP-ESS</t>
  </si>
  <si>
    <t>T73-FY-201</t>
  </si>
  <si>
    <t>PO4257/09-10</t>
  </si>
  <si>
    <t>35,850 mm</t>
  </si>
  <si>
    <t>T73-FT-321</t>
  </si>
  <si>
    <t>T73-PT-321</t>
  </si>
  <si>
    <t>T73-TT-321</t>
  </si>
  <si>
    <t>T73-TE-321</t>
  </si>
  <si>
    <t>70437/11/1</t>
  </si>
  <si>
    <t>T73-FY-321</t>
  </si>
  <si>
    <t>T73_FQI_181_HORA_ANT</t>
  </si>
  <si>
    <t>7-JUB-18HP-ESS</t>
  </si>
  <si>
    <t>T73-FY-301</t>
  </si>
  <si>
    <t>PO2013-SOP/OM-023</t>
  </si>
  <si>
    <t>35,530 mm</t>
  </si>
  <si>
    <t>T73-FT-301</t>
  </si>
  <si>
    <t>T73-PT-301</t>
  </si>
  <si>
    <t>T73-TT-301</t>
  </si>
  <si>
    <t>T73-TE-301</t>
  </si>
  <si>
    <t>70437/15/1</t>
  </si>
  <si>
    <t>T73_FQI_001_HORA_ANT</t>
  </si>
  <si>
    <t>7-JUB-19H-ESS</t>
  </si>
  <si>
    <t>PO16933/12-02</t>
  </si>
  <si>
    <t>35,42 mm</t>
  </si>
  <si>
    <t>T73-FT-121</t>
  </si>
  <si>
    <t>T73-PT-121</t>
  </si>
  <si>
    <t>T73-TT-121</t>
  </si>
  <si>
    <t>T73-TE-121</t>
  </si>
  <si>
    <t>70437/7/1</t>
  </si>
  <si>
    <t>T73-FY-121</t>
  </si>
  <si>
    <t>T73_FQI_321_HORA_ANT</t>
  </si>
  <si>
    <t>7-JUB-24H-ESS</t>
  </si>
  <si>
    <t>T73-FE-341</t>
  </si>
  <si>
    <t>PO2015-SOP/OM-003</t>
  </si>
  <si>
    <t>40,130 mm</t>
  </si>
  <si>
    <t>T73-FT-041</t>
  </si>
  <si>
    <t>T73-PT-041</t>
  </si>
  <si>
    <t>T73-TT-041</t>
  </si>
  <si>
    <t>T73-TE-041</t>
  </si>
  <si>
    <t>70437/6/1</t>
  </si>
  <si>
    <t>T73-FY-041</t>
  </si>
  <si>
    <t>T73_FQI_301_HORA_ANT</t>
  </si>
  <si>
    <t>PO4257/09-20</t>
  </si>
  <si>
    <t>36,028 mm</t>
  </si>
  <si>
    <t>T73_FQI_121_HORA_ANT</t>
  </si>
  <si>
    <t>7-JUB-2HPA-ESS</t>
  </si>
  <si>
    <t>FC10</t>
  </si>
  <si>
    <t>01941-201A</t>
  </si>
  <si>
    <t>PO4257/09-03</t>
  </si>
  <si>
    <t>35,520 mm</t>
  </si>
  <si>
    <t>T73-FT-081</t>
  </si>
  <si>
    <t>T73-PT-081</t>
  </si>
  <si>
    <t>T73-TT-081</t>
  </si>
  <si>
    <t>T73-TE-081</t>
  </si>
  <si>
    <t>70437/19/1</t>
  </si>
  <si>
    <t>T73-FY-081</t>
  </si>
  <si>
    <t>T73_FQI_041_HORA_ANT</t>
  </si>
  <si>
    <t>7-JUB-31H-ESS</t>
  </si>
  <si>
    <t>T73-FY-241</t>
  </si>
  <si>
    <t>PO04257/09-16</t>
  </si>
  <si>
    <t>35,439 mm</t>
  </si>
  <si>
    <t>T73-FT-201</t>
  </si>
  <si>
    <t>T73-PT-201</t>
  </si>
  <si>
    <t>T73-TT-201</t>
  </si>
  <si>
    <t>T73-TE-201</t>
  </si>
  <si>
    <t>70437/13/1</t>
  </si>
  <si>
    <t>T73_FQI_061_HORA_ANT</t>
  </si>
  <si>
    <t>7-JUB-33HP-ESS</t>
  </si>
  <si>
    <t>T73-FY-021</t>
  </si>
  <si>
    <t>PO4257/09-02</t>
  </si>
  <si>
    <t>35,432 mm</t>
  </si>
  <si>
    <t>T73-FT-021</t>
  </si>
  <si>
    <t>T73-PT-021</t>
  </si>
  <si>
    <t>T73-TT-021</t>
  </si>
  <si>
    <t>T73-TE-021</t>
  </si>
  <si>
    <t>70437/5/1</t>
  </si>
  <si>
    <t>T73_FQI_081_HORA_ANT</t>
  </si>
  <si>
    <t>7-JUB-4HP-ESS</t>
  </si>
  <si>
    <t>PO4257/09-08</t>
  </si>
  <si>
    <t>35,447 mm</t>
  </si>
  <si>
    <t>T73-FT-341</t>
  </si>
  <si>
    <t>T73-PT-341</t>
  </si>
  <si>
    <t>T73-TT-341</t>
  </si>
  <si>
    <t>T73-TE-341</t>
  </si>
  <si>
    <t>70437/21/1</t>
  </si>
  <si>
    <t>T73-FY-341</t>
  </si>
  <si>
    <t>T73_FQI_201_HORA_ANT</t>
  </si>
  <si>
    <t>7-JUB-6HB-ESS</t>
  </si>
  <si>
    <t>PO2015-SOP/OM-001</t>
  </si>
  <si>
    <t>40,100 mm</t>
  </si>
  <si>
    <t>T73-FT-361</t>
  </si>
  <si>
    <t>T73-PT-361</t>
  </si>
  <si>
    <t>T73-TT-361</t>
  </si>
  <si>
    <t>T73-TE-361</t>
  </si>
  <si>
    <t>70437/22/1</t>
  </si>
  <si>
    <t>T73-FY-361</t>
  </si>
  <si>
    <t>T73_FQI_021_HORA_ANT</t>
  </si>
  <si>
    <t>7-JUB-9HP-ESS</t>
  </si>
  <si>
    <t>PO4257/09-04</t>
  </si>
  <si>
    <t>35,450 mm</t>
  </si>
  <si>
    <t>T73-FT-161</t>
  </si>
  <si>
    <t>T73-PT-161</t>
  </si>
  <si>
    <t>T73-TT-161</t>
  </si>
  <si>
    <t>T73-TE-161</t>
  </si>
  <si>
    <t>70437/17/1</t>
  </si>
  <si>
    <t>T73_FQI_341_HORA_ANT</t>
  </si>
  <si>
    <t>7-JUB-51H-ESS</t>
  </si>
  <si>
    <t>PO2014-SOP/OM-047</t>
  </si>
  <si>
    <t>40,090 mm</t>
  </si>
  <si>
    <t>T73-FT-241</t>
  </si>
  <si>
    <t>T73-PT-241</t>
  </si>
  <si>
    <t>T73-TT-241</t>
  </si>
  <si>
    <t>T73-TE-241</t>
  </si>
  <si>
    <t>70437/18/1</t>
  </si>
  <si>
    <t>T73_FQI_361_HORA_ANT</t>
  </si>
  <si>
    <t>7-JUB-53H-ESS</t>
  </si>
  <si>
    <t>PO4257/09-05</t>
  </si>
  <si>
    <t>36,070 mm</t>
  </si>
  <si>
    <t>T73-FT-261</t>
  </si>
  <si>
    <t>T73-PT-261</t>
  </si>
  <si>
    <t>T73-TT-261</t>
  </si>
  <si>
    <t>T73-TE-261</t>
  </si>
  <si>
    <t>70437/09/1</t>
  </si>
  <si>
    <t>T73-FY-261</t>
  </si>
  <si>
    <t>T73_FQI_161_HORA_ANT</t>
  </si>
  <si>
    <t>7-JUB-54HP-ESS</t>
  </si>
  <si>
    <t>PO04257/09-19</t>
  </si>
  <si>
    <t>35,940 mm</t>
  </si>
  <si>
    <t>T73-FT-141</t>
  </si>
  <si>
    <t>T73-PT-141</t>
  </si>
  <si>
    <t>T73-TT-141</t>
  </si>
  <si>
    <t>T73-TE-141</t>
  </si>
  <si>
    <t>70437/12/1</t>
  </si>
  <si>
    <t>T73-FY-141</t>
  </si>
  <si>
    <t>T73_FQI_241_HORA_ANT</t>
  </si>
  <si>
    <t>T73_FQI_261_HORA_ANT</t>
  </si>
  <si>
    <t>T73_FQI_141_HORA_ANT</t>
  </si>
  <si>
    <t>Pressão PDG</t>
  </si>
  <si>
    <t>Temperatura PDG</t>
  </si>
  <si>
    <t>Pressão TPT</t>
  </si>
  <si>
    <t>Temperatura TPT</t>
  </si>
  <si>
    <t>Pressão Anular</t>
  </si>
  <si>
    <t>Pressão de chegada</t>
  </si>
  <si>
    <t>Temperatura de chegada</t>
  </si>
  <si>
    <t>Choke de produção</t>
  </si>
  <si>
    <t>Pressão sucção BCSS</t>
  </si>
  <si>
    <t>Temperatura sucção BCSS</t>
  </si>
  <si>
    <t>Pressão descarga BCSS</t>
  </si>
  <si>
    <t>Corrente Total BCSS</t>
  </si>
  <si>
    <t>Frequência BCSS</t>
  </si>
  <si>
    <t>Temperatura motor BCSS</t>
  </si>
  <si>
    <t>Tensão de saída no VSD</t>
  </si>
  <si>
    <t>Potência de saída no VSD</t>
  </si>
  <si>
    <t>Potência de entrada no VSD</t>
  </si>
  <si>
    <t>Vazão de gás lift</t>
  </si>
  <si>
    <t>Pressão de gas lift</t>
  </si>
  <si>
    <t>Temperatura de gas lift</t>
  </si>
  <si>
    <t>Abertura do choke de gas lift</t>
  </si>
  <si>
    <t>Pressao montante gas lift</t>
  </si>
  <si>
    <t>301072_M54_PI_315B</t>
  </si>
  <si>
    <t>301072_M54_TI_315B</t>
  </si>
  <si>
    <t>301072_M54_PI_315A</t>
  </si>
  <si>
    <t>301072_M54_TI_315A</t>
  </si>
  <si>
    <t>301072_M54_PI_315C</t>
  </si>
  <si>
    <t>301072_T61_PSI_083</t>
  </si>
  <si>
    <t>301072_T61_TI_085</t>
  </si>
  <si>
    <t>301072_T61_FCV_084_MV</t>
  </si>
  <si>
    <t>301072_JUB09_PI_SUC</t>
  </si>
  <si>
    <t>301072_JUB09_TI_SUC</t>
  </si>
  <si>
    <t>301072_JUB09_PI_DESC</t>
  </si>
  <si>
    <t>301072_JUB09_II_TOTAL</t>
  </si>
  <si>
    <t>301072_M54_SI_408</t>
  </si>
  <si>
    <t>301072_JUB09_TI_MOTOR</t>
  </si>
  <si>
    <t>301072_JUB09_EI_OUT</t>
  </si>
  <si>
    <t>301072_JUB09_JI_OUT</t>
  </si>
  <si>
    <t>301072_JUB09_JI_IN</t>
  </si>
  <si>
    <t>301072_T73_FQI_161_HORA_ANT</t>
  </si>
  <si>
    <t>301072_T73_PSI_163</t>
  </si>
  <si>
    <t>301072_T73_TI_161</t>
  </si>
  <si>
    <t>301072_T73_FCV_162_MV</t>
  </si>
  <si>
    <t>301072_T73_PI_161</t>
  </si>
  <si>
    <t>301072_T73_PSI_283</t>
  </si>
  <si>
    <t>P-57: 3-ESS-110 - Pressão Gas Lift</t>
  </si>
  <si>
    <t>301072_M54_PI_328B</t>
  </si>
  <si>
    <t>301072_M54_TI_328B</t>
  </si>
  <si>
    <t>301072_M54_PI_328C</t>
  </si>
  <si>
    <t>301072_T61_PSI_183</t>
  </si>
  <si>
    <t>301072_T61_TI_185</t>
  </si>
  <si>
    <t>301072_T61_FCV_184_MV</t>
  </si>
  <si>
    <t>301072_JUB06_PI_SUC</t>
  </si>
  <si>
    <t>301072_JUB06_TI_SUC</t>
  </si>
  <si>
    <t>301072_JUB06_PI_DESC</t>
  </si>
  <si>
    <t>301072_JUB06_II_TOTAL</t>
  </si>
  <si>
    <t>301072_M54_SI_417</t>
  </si>
  <si>
    <t>301072_JUB06_TI_MOTOR</t>
  </si>
  <si>
    <t>301072_JUB06_EI_OUT</t>
  </si>
  <si>
    <t>301072_JUB06_JI_OUT</t>
  </si>
  <si>
    <t>301072_JUB06_JI_IN</t>
  </si>
  <si>
    <t>301072_T73_FQI_361_HORA_ANT</t>
  </si>
  <si>
    <t>301072_T73_PSI_363</t>
  </si>
  <si>
    <t>301072_T73_TI_361</t>
  </si>
  <si>
    <t>301072_T73_FCV_362_MV</t>
  </si>
  <si>
    <t>301072_T73_PI_361</t>
  </si>
  <si>
    <t>301072_T73_PSI_083</t>
  </si>
  <si>
    <t>P-57: 7-JUB-02 - Pressão Gas Lift</t>
  </si>
  <si>
    <t>301072_M54_PI_311B</t>
  </si>
  <si>
    <t>301072_M54_TI_311B</t>
  </si>
  <si>
    <t>301072_M54_PI_311A</t>
  </si>
  <si>
    <t>301072_M54_TI_311A</t>
  </si>
  <si>
    <t>301072_M54_PI_311C</t>
  </si>
  <si>
    <t>301072_T61_PSI_073</t>
  </si>
  <si>
    <t>301072_T61_TI_075</t>
  </si>
  <si>
    <t>301072_T61_FCV_074_MV</t>
  </si>
  <si>
    <t>301072_JUB54_PI_SUC</t>
  </si>
  <si>
    <t>301072_JUB54_TI_SUC</t>
  </si>
  <si>
    <t>301072_JUB54_PI_DESC</t>
  </si>
  <si>
    <t>301072_JUB54_II_TOTAL</t>
  </si>
  <si>
    <t>301072_M54_SI_412</t>
  </si>
  <si>
    <t>301072_JUB54_TI_MOTOR</t>
  </si>
  <si>
    <t>301072_JUB54_EI_OUT</t>
  </si>
  <si>
    <t>301072_JUB54_JI_OUT</t>
  </si>
  <si>
    <t>301072_JUB54_JI_IN</t>
  </si>
  <si>
    <t>301072_T73_FQI_141_HORA_ANT</t>
  </si>
  <si>
    <t>301072_T73_PSI_143</t>
  </si>
  <si>
    <t>301072_T73_TI_141</t>
  </si>
  <si>
    <t>301072_T73_FCV_142_MV</t>
  </si>
  <si>
    <t>301072_T73_PI_141</t>
  </si>
  <si>
    <t>301072_T73_PSI_343</t>
  </si>
  <si>
    <t>P-57: 7-JUB-04 - Pressão Gas Lift</t>
  </si>
  <si>
    <t>301072_M54_PI_321B</t>
  </si>
  <si>
    <t>301072_M54_TI_321B</t>
  </si>
  <si>
    <t>301072_M54_PI_321A</t>
  </si>
  <si>
    <t>301072_M54_TI_321A</t>
  </si>
  <si>
    <t>301072_M54_PI_321C</t>
  </si>
  <si>
    <t>301072_T61_PSI_133</t>
  </si>
  <si>
    <t>301072_T61_TI_135</t>
  </si>
  <si>
    <t>301072_T61_FCV_134_MV</t>
  </si>
  <si>
    <t>301072_T73_FQI_261_HORA_ANT</t>
  </si>
  <si>
    <t>301072_T73_PSI_263</t>
  </si>
  <si>
    <t>301072_T73_TI_261</t>
  </si>
  <si>
    <t>301072_T73_FCV_262_MV</t>
  </si>
  <si>
    <t>301072_T73_PI_261</t>
  </si>
  <si>
    <t>P-57: 7-JUB-06 - Pressão Gas Lift</t>
  </si>
  <si>
    <t>301072_M54_PI_320B</t>
  </si>
  <si>
    <t>301072_M54_TI_320B</t>
  </si>
  <si>
    <t>301072_M54_PI_320A</t>
  </si>
  <si>
    <t>301072_M54_TI_320A</t>
  </si>
  <si>
    <t>301072_M54_PI_320C</t>
  </si>
  <si>
    <t>301072_T61_PSI_123</t>
  </si>
  <si>
    <t>301072_T61_TI_125</t>
  </si>
  <si>
    <t>301072_T61_FCV_124_MV</t>
  </si>
  <si>
    <t>301072_T73_FQI_241_HORA_ANT</t>
  </si>
  <si>
    <t>301072_T73_PSI_243</t>
  </si>
  <si>
    <t>301072_T73_TI_241</t>
  </si>
  <si>
    <t>301072_T73_FCV_242_MV</t>
  </si>
  <si>
    <t>301072_T73_PI_241</t>
  </si>
  <si>
    <t>P-57: 7-JUB-09 - Pressão Gas Lift</t>
  </si>
  <si>
    <t>301072_M54_PI_327B</t>
  </si>
  <si>
    <t>301072_M54_TI_327B</t>
  </si>
  <si>
    <t>301072_M54_PI_327A</t>
  </si>
  <si>
    <t>301072_M54_TI_327A</t>
  </si>
  <si>
    <t>301072_M54_PI_327C</t>
  </si>
  <si>
    <t>301072_T61_PSI_173</t>
  </si>
  <si>
    <t>301072_T61_TI_175</t>
  </si>
  <si>
    <t>301072_T61_FCV_174_MV</t>
  </si>
  <si>
    <t>301072_JUB04_PI_SUC</t>
  </si>
  <si>
    <t>301072_JUB04_TI_SUC</t>
  </si>
  <si>
    <t>301072_JUB04_PI_DESC</t>
  </si>
  <si>
    <t>301072_JUB04_II_TOTAL</t>
  </si>
  <si>
    <t>301072_M54_SI_418</t>
  </si>
  <si>
    <t>301072_JUB04_TI_MOTOR</t>
  </si>
  <si>
    <t>301072_JUB04_EI_OUT</t>
  </si>
  <si>
    <t>301072_JUB04_JI_OUT</t>
  </si>
  <si>
    <t>301072_JUB04_JI_IN</t>
  </si>
  <si>
    <t>301072_T73_FQI_341_HORA_ANT</t>
  </si>
  <si>
    <t>301072_T73_TI_341</t>
  </si>
  <si>
    <t>301072_T73_FCV_342_MV</t>
  </si>
  <si>
    <t>301072_T73_PI_341</t>
  </si>
  <si>
    <t>301072_T73_PSI_223</t>
  </si>
  <si>
    <t>P-57: 7-JUB-11 - Pressão Gas Lift</t>
  </si>
  <si>
    <t>301072_M54_PI_302B</t>
  </si>
  <si>
    <t>301072_M54_TI_302B</t>
  </si>
  <si>
    <t>301072_M54_PI_302A</t>
  </si>
  <si>
    <t>301072_M54_TI_302A</t>
  </si>
  <si>
    <t>301072_M54_PI_302C</t>
  </si>
  <si>
    <t>301072_T61_PSI_013</t>
  </si>
  <si>
    <t>301072_T61_TI_015</t>
  </si>
  <si>
    <t>301072_T61_FCV_014_MV</t>
  </si>
  <si>
    <t>301072_JUB33_PI_SUC</t>
  </si>
  <si>
    <t>301072_JUB33_TI_SUC</t>
  </si>
  <si>
    <t>301072_JUB33_PI_DESC</t>
  </si>
  <si>
    <t>301072_JUB33_II_TOTAL</t>
  </si>
  <si>
    <t>301072_M54_SI_402</t>
  </si>
  <si>
    <t>301072_JUB33_TI_MOTOR</t>
  </si>
  <si>
    <t>301072_JUB33_EI_OUT</t>
  </si>
  <si>
    <t>301072_JUB33_JI_OUT</t>
  </si>
  <si>
    <t>301072_JUB33_JI_IN</t>
  </si>
  <si>
    <t>301072_T73_FQI_021_HORA_ANT</t>
  </si>
  <si>
    <t>301072_T73_PSI_023</t>
  </si>
  <si>
    <t>301072_T73_TI_021</t>
  </si>
  <si>
    <t>301072_T73_FCV_022_MV</t>
  </si>
  <si>
    <t>301072_T73_PI_021</t>
  </si>
  <si>
    <t>301072_T73_PSI_183</t>
  </si>
  <si>
    <t>P-57: 7-JUB-13 - Pressão Gas Lift</t>
  </si>
  <si>
    <t>301072_M54_PI_317B</t>
  </si>
  <si>
    <t>301072_M54_TI_317B</t>
  </si>
  <si>
    <t>301072_M54_PI_317A</t>
  </si>
  <si>
    <t>301072_M54_TI_317A</t>
  </si>
  <si>
    <t>301072_M54_PI_317C</t>
  </si>
  <si>
    <t>301072_T61_PSI_103</t>
  </si>
  <si>
    <t>301072_T61_TI_105</t>
  </si>
  <si>
    <t>301072_T61_FCV_104_MV</t>
  </si>
  <si>
    <t>301072_JUB31_PI_SUC</t>
  </si>
  <si>
    <t>301072_JUB31_TI_SUC</t>
  </si>
  <si>
    <t>301072_JUB31_PI_DESC</t>
  </si>
  <si>
    <t>301072_JUB31_II_TOTAL</t>
  </si>
  <si>
    <t>301072_M54_SI_410</t>
  </si>
  <si>
    <t>301072_JUB31_TI_MOTOR</t>
  </si>
  <si>
    <t>301072_JUB31_EI_OUT</t>
  </si>
  <si>
    <t>301072_JUB31_JI_OUT</t>
  </si>
  <si>
    <t>301072_JUB31_JI_IN</t>
  </si>
  <si>
    <t>301072_T73_FQI_201_HORA_ANT</t>
  </si>
  <si>
    <t>301072_T73_PSI_203</t>
  </si>
  <si>
    <t>301072_T73_TI_201</t>
  </si>
  <si>
    <t>301072_T73_FCV_202_MV</t>
  </si>
  <si>
    <t>301072_T73_PI_201</t>
  </si>
  <si>
    <t>301072_T73_PSI_003</t>
  </si>
  <si>
    <t>P-57: 7-JUB-14 - Pressão Gas Lift</t>
  </si>
  <si>
    <t>301072_M54_PI_307B</t>
  </si>
  <si>
    <t>301072_M54_TI_307B</t>
  </si>
  <si>
    <t>301072_M54_PI_307A</t>
  </si>
  <si>
    <t>301072_M54_TI_307A</t>
  </si>
  <si>
    <t>301072_T61_PSI_043</t>
  </si>
  <si>
    <t>301072_T61_TI_045</t>
  </si>
  <si>
    <t>301072_T61_FCV_044_MV</t>
  </si>
  <si>
    <t>301072_JUB02_PI_SUC</t>
  </si>
  <si>
    <t>301072_JUB02_TI_SUC</t>
  </si>
  <si>
    <t>301072_JUB02_PI_DESC</t>
  </si>
  <si>
    <t>301072_JUB02_II_TOTAL</t>
  </si>
  <si>
    <t>301072_M54_SI_405</t>
  </si>
  <si>
    <t>301072_JUB02_TI_MOTOR</t>
  </si>
  <si>
    <t>301072_JUB02_EI_OUT</t>
  </si>
  <si>
    <t>301072_JUB02_JI_OUT</t>
  </si>
  <si>
    <t>301072_JUB02_JI_IN</t>
  </si>
  <si>
    <t>301072_T73_FQI_081_HORA_ANT</t>
  </si>
  <si>
    <t>301072_T73_TI_081</t>
  </si>
  <si>
    <t>301072_T73_FCV_082_MV</t>
  </si>
  <si>
    <t>301072_T73_PI_081</t>
  </si>
  <si>
    <t>301072_T73_PSI_323</t>
  </si>
  <si>
    <t>P-57: 7-JUB-16 - Pressão Gas Lift</t>
  </si>
  <si>
    <t>301072_M54_PI_306B</t>
  </si>
  <si>
    <t>301072_M54_TI_306B</t>
  </si>
  <si>
    <t>301072_M54_PI_306A</t>
  </si>
  <si>
    <t>301072_M54_TI_306A</t>
  </si>
  <si>
    <t>301072_M54_PI_306C</t>
  </si>
  <si>
    <t>301072_T61_PSI_033</t>
  </si>
  <si>
    <t>301072_T61_TI_035</t>
  </si>
  <si>
    <t>301072_T61_FCV_034_MV</t>
  </si>
  <si>
    <t>301072_m54_PI_103_E</t>
  </si>
  <si>
    <t>301072_M54_TI_105_E</t>
  </si>
  <si>
    <t>301072_M54_PI_104_E</t>
  </si>
  <si>
    <t>301072_M54_IQI_117_E</t>
  </si>
  <si>
    <t>301072_M54_SI_111_E</t>
  </si>
  <si>
    <t>301072_JUB27_TI_MOTOR</t>
  </si>
  <si>
    <t>301072_JUB27_EI_OUT</t>
  </si>
  <si>
    <t>301072_JUB27_JI_OUT</t>
  </si>
  <si>
    <t>301072_JUB27_JI_IN</t>
  </si>
  <si>
    <t>301072_T73_FQI_061_HORA_ANT</t>
  </si>
  <si>
    <t>301072_T73_PSI_063</t>
  </si>
  <si>
    <t>301072_T73_TI_061</t>
  </si>
  <si>
    <t>301072_T73_FCV_062_MV</t>
  </si>
  <si>
    <t>301072_T73_PI_061</t>
  </si>
  <si>
    <t>301072_T73_PSI_303</t>
  </si>
  <si>
    <t>P-57: 7-JUB-18 - Pressão Gas Lift</t>
  </si>
  <si>
    <t>301072_M54_PI_305B</t>
  </si>
  <si>
    <t>301072_M54_TI_305B</t>
  </si>
  <si>
    <t>301072_M54_PI_305A</t>
  </si>
  <si>
    <t>301072_M54_TI_305A</t>
  </si>
  <si>
    <t>301072_M54_PI_305C</t>
  </si>
  <si>
    <t>301072_T61_PSI_023</t>
  </si>
  <si>
    <t>301072_T61_TI_025</t>
  </si>
  <si>
    <t>301072_T61_FCV_024_MV</t>
  </si>
  <si>
    <t>301072_JUB24_PI_SUC</t>
  </si>
  <si>
    <t>301072_JUB24_TI_SUC</t>
  </si>
  <si>
    <t>301072_JUB24_PI_DESC</t>
  </si>
  <si>
    <t>301072_JUB24_II_TOTAL</t>
  </si>
  <si>
    <t>301072_M54_SI_403</t>
  </si>
  <si>
    <t>301072_JUB24_TI_MOTOR</t>
  </si>
  <si>
    <t>301072_JUB24_EI_OUT</t>
  </si>
  <si>
    <t>301072_JUB24_JI_OUT</t>
  </si>
  <si>
    <t>301072_JUB24_JI_IN</t>
  </si>
  <si>
    <t>301072_T73_FQI_041_HORA_ANT</t>
  </si>
  <si>
    <t>301072_T73_PSI_043</t>
  </si>
  <si>
    <t>301072_T73_TI_041</t>
  </si>
  <si>
    <t>301072_T73_FCV_042_MV</t>
  </si>
  <si>
    <t>301072_T73_PI_041</t>
  </si>
  <si>
    <t>301072_T73_PSI_123</t>
  </si>
  <si>
    <t>P-57: 7-JUB-19 - Pressão Gas Lift</t>
  </si>
  <si>
    <t>301072_M54_PI_312B</t>
  </si>
  <si>
    <t>301072_M54_TI_312B</t>
  </si>
  <si>
    <t>301072_M54_PI_312A</t>
  </si>
  <si>
    <t>301072_M54_TI_312A</t>
  </si>
  <si>
    <t>301072_M54_PI_312C</t>
  </si>
  <si>
    <t>301072_T61_PSI_063</t>
  </si>
  <si>
    <t>301072_T61_TI_065</t>
  </si>
  <si>
    <t>301072_T61_FCV_064_MV</t>
  </si>
  <si>
    <t>301072_JUB19_PI_SUC</t>
  </si>
  <si>
    <t>301072_JUB19_TI_SUC</t>
  </si>
  <si>
    <t>301072_JUB19_PI_DESC</t>
  </si>
  <si>
    <t>301072_JUB19_II_TOTAL</t>
  </si>
  <si>
    <t>301072_M54_SI_407</t>
  </si>
  <si>
    <t>301072_JUB19_TI_MOTOR</t>
  </si>
  <si>
    <t>301072_JUB19_EI_OUT</t>
  </si>
  <si>
    <t>301072_JUB19_JI_OUT</t>
  </si>
  <si>
    <t>301072_JUB19_JI_IN</t>
  </si>
  <si>
    <t>301072_T73_FQI_121_HORA_ANT</t>
  </si>
  <si>
    <t>301072_T73_TI_121</t>
  </si>
  <si>
    <t>301072_T73_FCV_122_MV</t>
  </si>
  <si>
    <t>301072_T73_PI_121</t>
  </si>
  <si>
    <t>P-57: 7-JUB-24 - Pressão Gas Lift</t>
  </si>
  <si>
    <t>301072_M54_PI_325B</t>
  </si>
  <si>
    <t>301072_M54_TI_325B</t>
  </si>
  <si>
    <t>301072_M54_PI_325A</t>
  </si>
  <si>
    <t>301072_M54_TI_325A</t>
  </si>
  <si>
    <t>301072_M54_PI_325C</t>
  </si>
  <si>
    <t>301072_T61_PSI_163</t>
  </si>
  <si>
    <t>301072_T61_TI_165</t>
  </si>
  <si>
    <t>301072_T61_FCV_164_MV</t>
  </si>
  <si>
    <t>301072_JUB18_PI_SUC</t>
  </si>
  <si>
    <t>301072_JUB18_TI_SUC</t>
  </si>
  <si>
    <t>301072_JUB18_PI_DESC</t>
  </si>
  <si>
    <t>301072_JUB18_II_TOTAL</t>
  </si>
  <si>
    <t>301072_M54_SI_414</t>
  </si>
  <si>
    <t>301072_JUB18_TI_MOTOR</t>
  </si>
  <si>
    <t>301072_JUB18_EI_OUT</t>
  </si>
  <si>
    <t>301072_JUB18_JI_OUT</t>
  </si>
  <si>
    <t>301072_JUB18_JI_IN</t>
  </si>
  <si>
    <t>301072_T73_FQI_301_HORA_ANT</t>
  </si>
  <si>
    <t>301072_T73_TI_301</t>
  </si>
  <si>
    <t>301072_T73_FCV_302_MV</t>
  </si>
  <si>
    <t>301072_T73_PI_301</t>
  </si>
  <si>
    <t>P-57: 7-JUB-27 - Pressão Gas Lift</t>
  </si>
  <si>
    <t>301072_M54_PI_326B</t>
  </si>
  <si>
    <t>301072_M54_TI_326B</t>
  </si>
  <si>
    <t>301072_M54_PI_326A</t>
  </si>
  <si>
    <t>301072_M54_TI_326A</t>
  </si>
  <si>
    <t>301072_M54_PI_326C</t>
  </si>
  <si>
    <t>301072_T61_PSI_153</t>
  </si>
  <si>
    <t>301072_T61_TI_155</t>
  </si>
  <si>
    <t>301072_T61_FCV_154_MV</t>
  </si>
  <si>
    <t>301072_JUB16_PI_SUC</t>
  </si>
  <si>
    <t>301072_JUB16_TI_SUC</t>
  </si>
  <si>
    <t>301072_JUB16_PI_DESC</t>
  </si>
  <si>
    <t>301072_JUB16_II_TOTAL</t>
  </si>
  <si>
    <t>301072_M54_SI_415</t>
  </si>
  <si>
    <t>301072_JUB16_TI_MOTOR</t>
  </si>
  <si>
    <t>301072_JUB16_EI_OUT</t>
  </si>
  <si>
    <t>301072_JUB16_JI_OUT</t>
  </si>
  <si>
    <t>301072_JUB16_JI_IN</t>
  </si>
  <si>
    <t>301072_T73_FQI_321_HORA_ANT</t>
  </si>
  <si>
    <t>301072_T73_TI_321</t>
  </si>
  <si>
    <t>301072_T73_FCV_322_MV</t>
  </si>
  <si>
    <t>301072_T73_PI_321</t>
  </si>
  <si>
    <t>P-57: 7-JUB-31 - Pressão Gas Lift</t>
  </si>
  <si>
    <t>301072_M54_PI_301A</t>
  </si>
  <si>
    <t>301072_M54_TI_301A</t>
  </si>
  <si>
    <t>301072_M54_PI_301C</t>
  </si>
  <si>
    <t>301072_T61_PSI_003</t>
  </si>
  <si>
    <t>301072_T61_TI_005</t>
  </si>
  <si>
    <t>301072_T61_FCV_004_MV</t>
  </si>
  <si>
    <t>301072_JUB14_PI_SUC</t>
  </si>
  <si>
    <t>301072_JUB14_TI_SUC</t>
  </si>
  <si>
    <t>301072_JUB14_PI_DESC</t>
  </si>
  <si>
    <t>301072_JUB14_II_TOTAL</t>
  </si>
  <si>
    <t>301072_M54_SI_401</t>
  </si>
  <si>
    <t>301072_JUB14_TI_MOTOR</t>
  </si>
  <si>
    <t>301072_JUB14_EI_OUT</t>
  </si>
  <si>
    <t>301072_JUB14_JI_OUT</t>
  </si>
  <si>
    <t>301072_JUB14_JI_IN</t>
  </si>
  <si>
    <t>301072_T73_FQI_001_HORA_ANT</t>
  </si>
  <si>
    <t>301072_T73_TI_001</t>
  </si>
  <si>
    <t>301072_T73_FCV_002_MV</t>
  </si>
  <si>
    <t>301072_T73_PI_001</t>
  </si>
  <si>
    <t>P-57: 7-JUB-33 - Pressão Gas Lift</t>
  </si>
  <si>
    <t>301072_M54_PI_316B</t>
  </si>
  <si>
    <t>301072_M54_TI_316B</t>
  </si>
  <si>
    <t>301072_M54_PI_316A</t>
  </si>
  <si>
    <t>301072_M54_TI_316A</t>
  </si>
  <si>
    <t>301072_M54_PI_316C</t>
  </si>
  <si>
    <t>301072_T61_PSI_093</t>
  </si>
  <si>
    <t>301072_T61_TI_095</t>
  </si>
  <si>
    <t>301072_T61_FCV_094_MV</t>
  </si>
  <si>
    <t>301072_JUB13_PI_SUC</t>
  </si>
  <si>
    <t>301072_JUB13_TI_SUC</t>
  </si>
  <si>
    <t>301072_JUB13_PI_DESC</t>
  </si>
  <si>
    <t>301072_JUB13_II_TOTAL</t>
  </si>
  <si>
    <t>301072_M54_SI_409</t>
  </si>
  <si>
    <t>301072_JUB13_TI_MOTOR</t>
  </si>
  <si>
    <t>301072_JUB13_EI_OUT</t>
  </si>
  <si>
    <t>301072_JUB13_JI_OUT</t>
  </si>
  <si>
    <t>301072_JUB13_JI_IN</t>
  </si>
  <si>
    <t>301072_T73_FQI_181_HORA_ANT</t>
  </si>
  <si>
    <t>301072_T73_TI_181</t>
  </si>
  <si>
    <t>301072_T73_FCV_182_MV</t>
  </si>
  <si>
    <t>301072_T73_PI_181</t>
  </si>
  <si>
    <t>P-57: 7-JUB-51 - Pressão Gas Lift</t>
  </si>
  <si>
    <t>301072_M54_PI_318B</t>
  </si>
  <si>
    <t>301072_M54_TI_318B</t>
  </si>
  <si>
    <t>301072_M54_PI_318A</t>
  </si>
  <si>
    <t>301072_M54_TI_318A</t>
  </si>
  <si>
    <t>301072_M54_PI_318C</t>
  </si>
  <si>
    <t>301072_T61_PSI_113</t>
  </si>
  <si>
    <t>301072_T61_TI_115</t>
  </si>
  <si>
    <t>301072_T61_FCV_114_MV</t>
  </si>
  <si>
    <t>301072_JUB11_PI_SUC</t>
  </si>
  <si>
    <t>301072_JUB11_TI_SUC</t>
  </si>
  <si>
    <t>301072_JUB11_PI_DESC</t>
  </si>
  <si>
    <t>301072_JUB11_II_TOTAL</t>
  </si>
  <si>
    <t>301072_M54_SI_411</t>
  </si>
  <si>
    <t>301072_JUB11_TI_MOTOR</t>
  </si>
  <si>
    <t>301072_JUB11_EI_OUT</t>
  </si>
  <si>
    <t>301072_JUB11_JI_OUT</t>
  </si>
  <si>
    <t>301072_JUB11_JI_IN</t>
  </si>
  <si>
    <t>301072_T73_FQI_221_HORA_ANT</t>
  </si>
  <si>
    <t>301072_T73_TI_221</t>
  </si>
  <si>
    <t>301072_T73_FCV_222_MV</t>
  </si>
  <si>
    <t>301072_T73_PI_221</t>
  </si>
  <si>
    <t>P-57: 7-JUB-53 - Pressão Gas Lift</t>
  </si>
  <si>
    <t>301072_M54_PI_324B</t>
  </si>
  <si>
    <t>301072_M54_TI_324B</t>
  </si>
  <si>
    <t>301072_M54_PI_324A</t>
  </si>
  <si>
    <t>301072_M54_TI_324A</t>
  </si>
  <si>
    <t>301072_T61_PSI_143</t>
  </si>
  <si>
    <t>301072_T61_TI_145</t>
  </si>
  <si>
    <t>301072_T61_FCV_144_MV</t>
  </si>
  <si>
    <t>301072_ESS110_PI_SUC</t>
  </si>
  <si>
    <t>301072_ESS110_TI_SUC</t>
  </si>
  <si>
    <t>301072_ESS110_PI_DESC</t>
  </si>
  <si>
    <t>301072_ESS110_II_TOTAL</t>
  </si>
  <si>
    <t>301072_M54_SI_413</t>
  </si>
  <si>
    <t>301072_ESS110_TI_MOTOR</t>
  </si>
  <si>
    <t>301072_ESS110_EI_OUT</t>
  </si>
  <si>
    <t>301072_ESS110_JI_OUT</t>
  </si>
  <si>
    <t>301072_ESS110_JI_IN</t>
  </si>
  <si>
    <t>301072_T73_FQI_281_HORA_ANT</t>
  </si>
  <si>
    <t>301072_T73_TI_281</t>
  </si>
  <si>
    <t>301072_T73_FCV_282_MV</t>
  </si>
  <si>
    <t>301072_T73_PI_281</t>
  </si>
  <si>
    <t>P-57: 7-JUB-54 - Pressão Gas Lift</t>
  </si>
  <si>
    <t>SESAUPI01</t>
  </si>
  <si>
    <t>P-57: 3-ESS-110 - Temperatura de gas lift</t>
  </si>
  <si>
    <t>P-57: 7-JUB-02 - Temperatura de gas lift</t>
  </si>
  <si>
    <t>P-57: 7-JUB-04 - Temperatura de gas lift</t>
  </si>
  <si>
    <t>P-57: 7-JUB-06 - Temperatura de gas lift</t>
  </si>
  <si>
    <t>P-57: 7-JUB-09 - Temperatura de gas lift</t>
  </si>
  <si>
    <t>P-57: 7-JUB-11 - Temperatura de gas lift</t>
  </si>
  <si>
    <t>P-57: 7-JUB-13 - Temperatura de gas lift</t>
  </si>
  <si>
    <t>P-57: 7-JUB-14 - Temperatura de gas lift</t>
  </si>
  <si>
    <t>P-57: 7-JUB-16 - Temperatura de gas lift</t>
  </si>
  <si>
    <t>P-57: 7-JUB-18 - Temperatura de gas lift</t>
  </si>
  <si>
    <t>P-57: 7-JUB-19 - Temperatura de gas lift</t>
  </si>
  <si>
    <t>P-57: 7-JUB-24 - Temperatura de gas lift</t>
  </si>
  <si>
    <t>P-57: 7-JUB-27 - Temperatura de gas lift</t>
  </si>
  <si>
    <t>P-57: 7-JUB-31 - Temperatura de gas lift</t>
  </si>
  <si>
    <t>P-57: 7-JUB-33 - Temperatura de gas lift</t>
  </si>
  <si>
    <t>P-57: 7-JUB-51 - Temperatura de gas lift</t>
  </si>
  <si>
    <t>P-57: 7-JUB-53 - Temperatura de gas lift</t>
  </si>
  <si>
    <t>P-57: 7-JUB-54 - Temperatura de gas lift</t>
  </si>
  <si>
    <t>301072_T73_TI_101</t>
  </si>
  <si>
    <t>P-57: PROD O - Temperatura de gas lift</t>
  </si>
  <si>
    <t>301072_T73_TI_015</t>
  </si>
  <si>
    <t>P-57: T73 - Temperatura do gas lift + exportação</t>
  </si>
  <si>
    <t>Memória de Cálculo de Conteúdo de Vapor de Água no Gás Natural</t>
  </si>
  <si>
    <t>1. Introdução</t>
  </si>
  <si>
    <t xml:space="preserve">O petróleo e gás natural são produzidos junto com água da formação. Essa água presente na fase líquida irá evaporar e entrar em equilíbrio líquido-vapor com a fase gasosa durante o escoamento da produção até sua separação nos vasos da unidade de produção. Portanto, o gás que deixa o separador gás-líquido estará saturado em água. 
Após compressão e desidratação do gás natural separado, essa água que estava na fase vapor será extraída, restando apenas uma concentração residual de vapor de água no gás.
A quantidade de vapor de água em equilíbrio na fase gasosa depende principalmente das condições de temperatura e pressão em que ocorreu o equilíbrio líquido-vapor. 
Essa quantidade pode ser significativa e pode interferir na medição de gás para apropriação. </t>
  </si>
  <si>
    <t>2. Objetivo</t>
  </si>
  <si>
    <t>Corrigir o desvio na medição de gás natural causado pelo vapor de água medido como gás natural durante testes de poço para apropriação.</t>
  </si>
  <si>
    <t>3. Metodologia</t>
  </si>
  <si>
    <r>
      <t xml:space="preserve">Diversos trabalhos foram publicados para correlacionar o teor de água no gás natural às condições de equilíbrio líquido-vapor. Zhu </t>
    </r>
    <r>
      <rPr>
        <i/>
        <sz val="11"/>
        <color theme="1"/>
        <rFont val="Calibri"/>
        <family val="2"/>
        <scheme val="minor"/>
      </rPr>
      <t>et al</t>
    </r>
    <r>
      <rPr>
        <sz val="10"/>
        <rFont val="Arial"/>
        <family val="2"/>
      </rPr>
      <t>., no artigo "</t>
    </r>
    <r>
      <rPr>
        <i/>
        <sz val="11"/>
        <color theme="1"/>
        <rFont val="Calibri"/>
        <family val="2"/>
        <scheme val="minor"/>
      </rPr>
      <t>Analytical methods to calculate water content in natural gas</t>
    </r>
    <r>
      <rPr>
        <sz val="10"/>
        <rFont val="Arial"/>
        <family val="2"/>
      </rPr>
      <t xml:space="preserve">" </t>
    </r>
    <r>
      <rPr>
        <vertAlign val="superscript"/>
        <sz val="11"/>
        <color theme="1"/>
        <rFont val="Calibri"/>
        <family val="2"/>
        <scheme val="minor"/>
      </rPr>
      <t>[1]</t>
    </r>
    <r>
      <rPr>
        <sz val="10"/>
        <rFont val="Arial"/>
        <family val="2"/>
      </rPr>
      <t xml:space="preserve"> fazem uma revisão sobre o tema e são sugeridos os métodos mais adequados de cálculo do conteúdo de vapor de água em gás natural de acordo com as condições de operação. 
Considerando como condições de contorno dos testes de poço realizados no Separador de Testes da FPSO P-57 as temperaturas de 38 a 140 °C e pressões de 200 a 1075 kPa g </t>
    </r>
    <r>
      <rPr>
        <vertAlign val="superscript"/>
        <sz val="11"/>
        <color theme="1"/>
        <rFont val="Calibri"/>
        <family val="2"/>
        <scheme val="minor"/>
      </rPr>
      <t>[1,2]</t>
    </r>
    <r>
      <rPr>
        <sz val="10"/>
        <rFont val="Arial"/>
        <family val="2"/>
      </rPr>
      <t xml:space="preserve">,  a equação proposta por Zhu </t>
    </r>
    <r>
      <rPr>
        <i/>
        <sz val="11"/>
        <color theme="1"/>
        <rFont val="Calibri"/>
        <family val="2"/>
        <scheme val="minor"/>
      </rPr>
      <t>et al</t>
    </r>
    <r>
      <rPr>
        <sz val="10"/>
        <rFont val="Arial"/>
        <family val="2"/>
      </rPr>
      <t>. foi a sugerida como a mais adequada.</t>
    </r>
  </si>
  <si>
    <t>4. Memória de Cálculo</t>
  </si>
  <si>
    <r>
      <t xml:space="preserve">O teor de água, em miligramas de água por metro cúbico de gás à temperatura de 15 °C e 101,3 kPa, segundo Zhu </t>
    </r>
    <r>
      <rPr>
        <i/>
        <sz val="11"/>
        <color theme="1"/>
        <rFont val="Calibri"/>
        <family val="2"/>
        <scheme val="minor"/>
      </rPr>
      <t>et al</t>
    </r>
    <r>
      <rPr>
        <sz val="10"/>
        <rFont val="Arial"/>
        <family val="2"/>
      </rPr>
      <t>., é dado por:</t>
    </r>
  </si>
  <si>
    <t>Eq. 1</t>
  </si>
  <si>
    <r>
      <t xml:space="preserve">Na Equação 1, P é a pressão de operação, dada em kPa, </t>
    </r>
    <r>
      <rPr>
        <i/>
        <sz val="11"/>
        <color theme="1"/>
        <rFont val="Calibri"/>
        <family val="2"/>
        <scheme val="minor"/>
      </rPr>
      <t>t</t>
    </r>
    <r>
      <rPr>
        <sz val="10"/>
        <rFont val="Arial"/>
        <family val="2"/>
      </rPr>
      <t xml:space="preserve"> é a temperatura de operação, dada em °C, </t>
    </r>
    <r>
      <rPr>
        <i/>
        <sz val="11"/>
        <color theme="1"/>
        <rFont val="Calibri"/>
        <family val="2"/>
        <scheme val="minor"/>
      </rPr>
      <t>a</t>
    </r>
    <r>
      <rPr>
        <sz val="10"/>
        <rFont val="Arial"/>
        <family val="2"/>
      </rPr>
      <t xml:space="preserve"> e </t>
    </r>
    <r>
      <rPr>
        <i/>
        <sz val="11"/>
        <color theme="1"/>
        <rFont val="Calibri"/>
        <family val="2"/>
        <scheme val="minor"/>
      </rPr>
      <t>b</t>
    </r>
    <r>
      <rPr>
        <sz val="10"/>
        <rFont val="Arial"/>
        <family val="2"/>
      </rPr>
      <t xml:space="preserve"> são constantes, dadas na Tabela 1.</t>
    </r>
  </si>
  <si>
    <r>
      <t xml:space="preserve">Constantes </t>
    </r>
    <r>
      <rPr>
        <b/>
        <i/>
        <sz val="11"/>
        <color theme="1"/>
        <rFont val="Calibri"/>
        <family val="2"/>
        <scheme val="minor"/>
      </rPr>
      <t>a</t>
    </r>
    <r>
      <rPr>
        <b/>
        <sz val="11"/>
        <color theme="1"/>
        <rFont val="Calibri"/>
        <family val="2"/>
        <scheme val="minor"/>
      </rPr>
      <t xml:space="preserve"> e </t>
    </r>
    <r>
      <rPr>
        <b/>
        <i/>
        <sz val="11"/>
        <color theme="1"/>
        <rFont val="Calibri"/>
        <family val="2"/>
        <scheme val="minor"/>
      </rPr>
      <t>b</t>
    </r>
    <r>
      <rPr>
        <b/>
        <sz val="11"/>
        <color theme="1"/>
        <rFont val="Calibri"/>
        <family val="2"/>
        <scheme val="minor"/>
      </rPr>
      <t xml:space="preserve"> para Equação 1</t>
    </r>
  </si>
  <si>
    <t>Cálculos intermediários</t>
  </si>
  <si>
    <t>i</t>
  </si>
  <si>
    <r>
      <t>a</t>
    </r>
    <r>
      <rPr>
        <i/>
        <vertAlign val="subscript"/>
        <sz val="11"/>
        <color theme="1"/>
        <rFont val="Calibri"/>
        <family val="2"/>
        <scheme val="minor"/>
      </rPr>
      <t>i</t>
    </r>
  </si>
  <si>
    <r>
      <t>b</t>
    </r>
    <r>
      <rPr>
        <i/>
        <vertAlign val="subscript"/>
        <sz val="11"/>
        <color theme="1"/>
        <rFont val="Calibri"/>
        <family val="2"/>
        <scheme val="minor"/>
      </rPr>
      <t>i</t>
    </r>
  </si>
  <si>
    <t>ai.t^i</t>
  </si>
  <si>
    <t>bi.t^i</t>
  </si>
  <si>
    <t>Σai.t^i =</t>
  </si>
  <si>
    <t>Σbi.t^i =</t>
  </si>
  <si>
    <t>O teor de água pode ser convertido em fração molar, que é análoga à fração volumétrica de água, dividindo-se o resultado da Equação 1 pela constante 761899 mg/m³.</t>
  </si>
  <si>
    <t>const =</t>
  </si>
  <si>
    <t>Eq. 2</t>
  </si>
  <si>
    <t>1/const =</t>
  </si>
  <si>
    <t>Eq. 3</t>
  </si>
  <si>
    <r>
      <t>A correlação acima considera o equilíbrio líquido vapor para o sistema gás natural doce e água líquida. Não é considerada a influência da salinidade da água líquida no equilíbrio. A lei de Raoult sugere que a concentração de água na fase vapor é reduzida proporcionalmente à redução da fração molar de água na fase líquida. Entretanto, para sistemas de sais dissolvidos em água, há desvios grandes da idealidade e, na prática, é observada uma redução maior da concentração de água na fase vapor que a prevista pela lei de Raoult.
Os desvios observados na Figura 1 foram obtidos de um gráfico do "</t>
    </r>
    <r>
      <rPr>
        <i/>
        <sz val="11"/>
        <color theme="1"/>
        <rFont val="Calibri"/>
        <family val="2"/>
        <scheme val="minor"/>
      </rPr>
      <t>Handbook of Natural Gas Engineering</t>
    </r>
    <r>
      <rPr>
        <sz val="10"/>
        <rFont val="Arial"/>
        <family val="2"/>
      </rPr>
      <t>"</t>
    </r>
    <r>
      <rPr>
        <vertAlign val="superscript"/>
        <sz val="11"/>
        <color theme="1"/>
        <rFont val="Calibri"/>
        <family val="2"/>
        <scheme val="minor"/>
      </rPr>
      <t>[3]</t>
    </r>
    <r>
      <rPr>
        <sz val="10"/>
        <rFont val="Arial"/>
        <family val="2"/>
      </rPr>
      <t xml:space="preserve"> citado por McCain no livro "</t>
    </r>
    <r>
      <rPr>
        <i/>
        <sz val="11"/>
        <color theme="1"/>
        <rFont val="Calibri"/>
        <family val="2"/>
        <scheme val="minor"/>
      </rPr>
      <t>The Properties of Petroleum Fluids</t>
    </r>
    <r>
      <rPr>
        <sz val="10"/>
        <rFont val="Arial"/>
        <family val="2"/>
      </rPr>
      <t>"</t>
    </r>
    <r>
      <rPr>
        <vertAlign val="superscript"/>
        <sz val="11"/>
        <color theme="1"/>
        <rFont val="Calibri"/>
        <family val="2"/>
        <scheme val="minor"/>
      </rPr>
      <t>[4]</t>
    </r>
    <r>
      <rPr>
        <sz val="10"/>
        <rFont val="Arial"/>
        <family val="2"/>
      </rPr>
      <t>.</t>
    </r>
  </si>
  <si>
    <r>
      <t xml:space="preserve">Figura 1: Efeito da salinidade no teor de água do gás natural </t>
    </r>
    <r>
      <rPr>
        <b/>
        <vertAlign val="superscript"/>
        <sz val="11"/>
        <color theme="1"/>
        <rFont val="Calibri"/>
        <family val="2"/>
        <scheme val="minor"/>
      </rPr>
      <t>[3,4]</t>
    </r>
  </si>
  <si>
    <t>TDS</t>
  </si>
  <si>
    <t>(TDS)^2</t>
  </si>
  <si>
    <t>(TDS)^3</t>
  </si>
  <si>
    <t>C.s</t>
  </si>
  <si>
    <t>Cs previsto</t>
  </si>
  <si>
    <r>
      <t>O principal sal existente na água de formação é o cloreto de sódio, que, no caso da água produzida da FPSO P-57 corresponde a mais de 85 %m/m de todos os sais da água de formação. Portanto, considerou-se que o cloreto de sódio é o sal representativo para modelagem do sistema. 
O teor de cloretos na água de formação dos poços é medido por titulação argentométrica, sendo convertido a teor de cloreto de sódio posteriormente, considerando que o sódio é o único contra-íon disponível para o cloreto. Para se converter a salinidade, em mg/L, para %m/m, foi utilizada uma interpolação de dados de massa específica de soluções de NaCl</t>
    </r>
    <r>
      <rPr>
        <vertAlign val="superscript"/>
        <sz val="11"/>
        <color theme="1"/>
        <rFont val="Calibri"/>
        <family val="2"/>
        <scheme val="minor"/>
      </rPr>
      <t>[5]</t>
    </r>
    <r>
      <rPr>
        <sz val="10"/>
        <rFont val="Arial"/>
        <family val="2"/>
      </rPr>
      <t xml:space="preserve">. </t>
    </r>
  </si>
  <si>
    <t>m3</t>
  </si>
  <si>
    <t>m2</t>
  </si>
  <si>
    <t>m1</t>
  </si>
  <si>
    <t>m0</t>
  </si>
  <si>
    <t>R² =</t>
  </si>
  <si>
    <t>Cálculo da fração volumétrica do vapor de água no gás natural</t>
  </si>
  <si>
    <t>Propriedades de soluções de NaCl @ 1 atm e 20 °C</t>
  </si>
  <si>
    <t>P, kPa g</t>
  </si>
  <si>
    <t>T, °C</t>
  </si>
  <si>
    <t>Salinidade</t>
  </si>
  <si>
    <r>
      <t>F</t>
    </r>
    <r>
      <rPr>
        <b/>
        <vertAlign val="subscript"/>
        <sz val="11"/>
        <color theme="1"/>
        <rFont val="Calibri"/>
        <family val="2"/>
        <scheme val="minor"/>
      </rPr>
      <t>S</t>
    </r>
  </si>
  <si>
    <r>
      <t>w.H</t>
    </r>
    <r>
      <rPr>
        <b/>
        <vertAlign val="subscript"/>
        <sz val="11"/>
        <color theme="1"/>
        <rFont val="Calibri"/>
        <family val="2"/>
        <scheme val="minor"/>
      </rPr>
      <t>2</t>
    </r>
    <r>
      <rPr>
        <b/>
        <sz val="11"/>
        <color theme="1"/>
        <rFont val="Calibri"/>
        <family val="2"/>
        <scheme val="minor"/>
      </rPr>
      <t>O*</t>
    </r>
  </si>
  <si>
    <r>
      <t>w.H</t>
    </r>
    <r>
      <rPr>
        <b/>
        <vertAlign val="subscript"/>
        <sz val="11"/>
        <color theme="1"/>
        <rFont val="Calibri"/>
        <family val="2"/>
        <scheme val="minor"/>
      </rPr>
      <t>2</t>
    </r>
    <r>
      <rPr>
        <b/>
        <sz val="11"/>
        <color theme="1"/>
        <rFont val="Calibri"/>
        <family val="2"/>
        <scheme val="minor"/>
      </rPr>
      <t>O</t>
    </r>
  </si>
  <si>
    <r>
      <t>y.H</t>
    </r>
    <r>
      <rPr>
        <b/>
        <vertAlign val="subscript"/>
        <sz val="11"/>
        <color theme="1"/>
        <rFont val="Calibri"/>
        <family val="2"/>
        <scheme val="minor"/>
      </rPr>
      <t>2</t>
    </r>
    <r>
      <rPr>
        <b/>
        <sz val="11"/>
        <color theme="1"/>
        <rFont val="Calibri"/>
        <family val="2"/>
        <scheme val="minor"/>
      </rPr>
      <t>O</t>
    </r>
  </si>
  <si>
    <r>
      <t>H</t>
    </r>
    <r>
      <rPr>
        <b/>
        <vertAlign val="subscript"/>
        <sz val="11"/>
        <color theme="1"/>
        <rFont val="Calibri"/>
        <family val="2"/>
        <scheme val="minor"/>
      </rPr>
      <t>2</t>
    </r>
    <r>
      <rPr>
        <b/>
        <sz val="11"/>
        <color theme="1"/>
        <rFont val="Calibri"/>
        <family val="2"/>
        <scheme val="minor"/>
      </rPr>
      <t>O</t>
    </r>
    <r>
      <rPr>
        <b/>
        <vertAlign val="subscript"/>
        <sz val="11"/>
        <color theme="1"/>
        <rFont val="Calibri"/>
        <family val="2"/>
        <scheme val="minor"/>
      </rPr>
      <t>(v)</t>
    </r>
  </si>
  <si>
    <t>%m/m</t>
  </si>
  <si>
    <r>
      <rPr>
        <sz val="9"/>
        <color theme="1"/>
        <rFont val="Calibri"/>
        <family val="2"/>
      </rPr>
      <t xml:space="preserve">ρ, </t>
    </r>
    <r>
      <rPr>
        <sz val="9"/>
        <color theme="1"/>
        <rFont val="Calibri"/>
        <family val="2"/>
        <scheme val="minor"/>
      </rPr>
      <t>g/L</t>
    </r>
  </si>
  <si>
    <t>(mg NaCl)/L</t>
  </si>
  <si>
    <t>(mg/L)</t>
  </si>
  <si>
    <t>(mg/L)^1,5</t>
  </si>
  <si>
    <t>(mg/L)^2</t>
  </si>
  <si>
    <t>P, kPa a</t>
  </si>
  <si>
    <t>P, psia</t>
  </si>
  <si>
    <t>mg/L</t>
  </si>
  <si>
    <t>mg/m³</t>
  </si>
  <si>
    <t>%mol</t>
  </si>
  <si>
    <t>15°C, 1 atm</t>
  </si>
  <si>
    <t>%v/v</t>
  </si>
  <si>
    <t>*Sem correção para efeito da salinidade</t>
  </si>
  <si>
    <t>5. Referências</t>
  </si>
  <si>
    <r>
      <t xml:space="preserve">[1] </t>
    </r>
    <r>
      <rPr>
        <i/>
        <sz val="11"/>
        <color theme="1"/>
        <rFont val="Calibri"/>
        <family val="2"/>
        <scheme val="minor"/>
      </rPr>
      <t>Analytical methods to calculate water content in natural gas</t>
    </r>
    <r>
      <rPr>
        <sz val="10"/>
        <rFont val="Arial"/>
        <family val="2"/>
      </rPr>
      <t>, Zhu, L., Li, L., Zhu, J., Qin, L., Fan, J., Chemical Engineering Research and Design 93 (2015) 148-162;</t>
    </r>
  </si>
  <si>
    <t>[2] I-MA-3010.72-1200-940-SBY-027, rev.B - FPSO / PART 3  PROCESS 3.0  OIL PROCESSING SYSTEM / OPERATIONS MANUAL / FPSO P-57;</t>
  </si>
  <si>
    <t>Dados obtidos a partir de interpolação dos valores disponíveis em Perry's [4]</t>
  </si>
  <si>
    <r>
      <t xml:space="preserve">[3] </t>
    </r>
    <r>
      <rPr>
        <i/>
        <sz val="11"/>
        <color theme="1"/>
        <rFont val="Calibri"/>
        <family val="2"/>
        <scheme val="minor"/>
      </rPr>
      <t>Handbook of Natural Gas Engineering</t>
    </r>
    <r>
      <rPr>
        <sz val="10"/>
        <rFont val="Arial"/>
        <family val="2"/>
      </rPr>
      <t xml:space="preserve">, Katz </t>
    </r>
    <r>
      <rPr>
        <i/>
        <sz val="11"/>
        <color theme="1"/>
        <rFont val="Calibri"/>
        <family val="2"/>
        <scheme val="minor"/>
      </rPr>
      <t>et al</t>
    </r>
    <r>
      <rPr>
        <sz val="10"/>
        <rFont val="Arial"/>
        <family val="2"/>
      </rPr>
      <t>., 1959, McGraw-Hill Book Co;</t>
    </r>
  </si>
  <si>
    <r>
      <t xml:space="preserve">[4] </t>
    </r>
    <r>
      <rPr>
        <i/>
        <sz val="11"/>
        <color theme="1"/>
        <rFont val="Calibri"/>
        <family val="2"/>
        <scheme val="minor"/>
      </rPr>
      <t>The Properties of Petroleum Fluids</t>
    </r>
    <r>
      <rPr>
        <sz val="10"/>
        <rFont val="Arial"/>
        <family val="2"/>
      </rPr>
      <t>, 2nd Ed., William McCain Jr., 1990, PennWell Publishing Company;</t>
    </r>
  </si>
  <si>
    <r>
      <t xml:space="preserve">[5] </t>
    </r>
    <r>
      <rPr>
        <i/>
        <sz val="11"/>
        <color theme="1"/>
        <rFont val="Calibri"/>
        <family val="2"/>
        <scheme val="minor"/>
      </rPr>
      <t>Perry's Chemical Engineer's Handbook, Section 2, Physical and Chemical Data</t>
    </r>
    <r>
      <rPr>
        <sz val="10"/>
        <rFont val="Arial"/>
        <family val="2"/>
      </rPr>
      <t>, 7th Ed., Perry, R. H., Green, D. W., Maloney, J., O., 1999, McGraw-Hill Co.</t>
    </r>
  </si>
  <si>
    <t>w.H2O*</t>
  </si>
  <si>
    <t>w.H2O</t>
  </si>
  <si>
    <t>y.H2O</t>
  </si>
  <si>
    <t>MultiScale</t>
  </si>
  <si>
    <t>%dif</t>
  </si>
  <si>
    <t>8916063/ 2023</t>
  </si>
  <si>
    <t xml:space="preserve">	8916733 / 2023</t>
  </si>
  <si>
    <t>8962590 / 2024</t>
  </si>
  <si>
    <t xml:space="preserve">P1 (1542,425 / 43), P2 (1550,069 / 52), P3 (1553,457 / 59), P4 (1557,325 / 70), P5 (1559,966 /79)
		</t>
  </si>
  <si>
    <t>20CHFF0068314</t>
  </si>
  <si>
    <t>Eng. Equip.</t>
  </si>
  <si>
    <t>HRG8</t>
  </si>
  <si>
    <t>Augusto Rhein Souto</t>
  </si>
  <si>
    <t>x</t>
  </si>
  <si>
    <t>EMAIL</t>
  </si>
  <si>
    <t>?</t>
  </si>
  <si>
    <t>NOME DO ARQUIVO  [BTP nº - poço - (não)conclusivo]</t>
  </si>
  <si>
    <t>PDGP</t>
  </si>
  <si>
    <t>PDGT</t>
  </si>
  <si>
    <t>TPTP</t>
  </si>
  <si>
    <t>TPTT</t>
  </si>
  <si>
    <t>Tag não encontrada</t>
  </si>
  <si>
    <t/>
  </si>
  <si>
    <t>P-57: 7-JUB-27HP-ESS - PDG Pressão</t>
  </si>
  <si>
    <t>P-57: 7-JUB-27HP-ESS - PDG Temperatura</t>
  </si>
  <si>
    <t>P-57: 7-JUB-27HP-ESS - TPT Pressão</t>
  </si>
  <si>
    <t>P-57: 7-JUB-27HP-ESS - TPT Temperatura</t>
  </si>
  <si>
    <t>P-57: 7-JUB-27HP-ESS - PT de anular</t>
  </si>
  <si>
    <t>P-57: 7-JUB-27 - Pressão de chegada</t>
  </si>
  <si>
    <t>P-57: T61 - Pressão header de teste</t>
  </si>
  <si>
    <t>P-57: 7-JUB-27 - Temperatura de chegada</t>
  </si>
  <si>
    <t>P-57: 7-JUB-27 - Choke de produção</t>
  </si>
  <si>
    <t>P-57: V-T6206 - Pressão Separador de teste</t>
  </si>
  <si>
    <t>P-57: V-T6206 - Temperatura média de óleo na hora anterior</t>
  </si>
  <si>
    <t>P-57: V-T6206 - Volume de água na hora anterior</t>
  </si>
  <si>
    <t>P-57: V-T6206 - Volume de gás nas condições de referência na hora anterior (SV)</t>
  </si>
  <si>
    <t>P-57: 7-JUB-27 - Pressão sucção BCSS</t>
  </si>
  <si>
    <t>P-57: 7-JUB-27 - Temperatura sucção BCSS</t>
  </si>
  <si>
    <t>P-57: 7-JUB-27 - Pressão descarga BCSS</t>
  </si>
  <si>
    <t>P-57: 7-JUB-27 - Corrente Total da BCSS</t>
  </si>
  <si>
    <t>P-57: 7-JUB-27 - Frequência BCSS-4</t>
  </si>
  <si>
    <t>P-57: V-T6206 - Volume bruto de óleo nas condições de referência na hora anterior (SV)</t>
  </si>
  <si>
    <t>P-57: V-T6206 - Pressão média de óleo na hora anterior</t>
  </si>
  <si>
    <t>P-57: EMED - Tramo A - CPL médio no dia anterior</t>
  </si>
  <si>
    <t>P-57: EMED - Tramo A - CTL médio no dia anterior</t>
  </si>
  <si>
    <t>P-57: 7-JUB-27: Volume de gas lift na hora anterior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</si>
</sst>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43" formatCode="_-* #,##0.00_-;\-* #,##0.00_-;_-* &quot;-&quot;??_-;_-@_-"/>
    <numFmt numFmtId="164" formatCode="#,##0.0"/>
    <numFmt numFmtId="165" formatCode="0.0"/>
    <numFmt numFmtId="166" formatCode="d/m/yy\ h:mm;@"/>
    <numFmt numFmtId="167" formatCode="&quot;R$&quot;\ #,##0.00"/>
    <numFmt numFmtId="168" formatCode="[$-F400]h:mm:ss\ AM/PM"/>
    <numFmt numFmtId="169" formatCode="dd/mm/yy"/>
    <numFmt numFmtId="170" formatCode="0.000"/>
    <numFmt numFmtId="171" formatCode="0_ ;\-0\ "/>
    <numFmt numFmtId="172" formatCode="_-&quot;£&quot;* #,##0_-;\-&quot;£&quot;* #,##0_-;_-&quot;£&quot;* &quot;-&quot;_-;_-@_-"/>
    <numFmt numFmtId="173" formatCode="_-&quot;£&quot;* #,##0.00_-;\-&quot;£&quot;* #,##0.00_-;_-&quot;£&quot;* &quot;-&quot;??_-;_-@_-"/>
    <numFmt numFmtId="174" formatCode="0.00000E+00"/>
    <numFmt numFmtId="175" formatCode="0.0000E+00"/>
    <numFmt numFmtId="176" formatCode="0.000E+00"/>
    <numFmt numFmtId="177" formatCode="0.00000"/>
    <numFmt numFmtId="178" formatCode="0.000000"/>
    <numFmt numFmtId="179" formatCode="0.0000"/>
    <numFmt numFmtId="180" formatCode="#,##0.000"/>
    <numFmt numFmtId="181" formatCode="h:mm;@"/>
    <numFmt numFmtId="182" formatCode="dd/mm/yyyy"/>
    <numFmt numFmtId="183" formatCode="dd/mm/yyyy\ hh:mm"/>
    <numFmt numFmtId="184" formatCode="d/m/yy;@"/>
  </numFmts>
  <fonts count="68" x14ac:knownFonts="1">
    <font>
      <sz val="10"/>
      <name val="Arial"/>
    </font>
    <font>
      <sz val="11"/>
      <color theme="1"/>
      <name val="Calibri"/>
      <family val="2"/>
      <scheme val="minor"/>
    </font>
    <font>
      <sz val="10"/>
      <name val="Arial"/>
      <family val="2"/>
    </font>
    <font>
      <b/>
      <sz val="10"/>
      <name val="Arial"/>
      <family val="2"/>
    </font>
    <font>
      <vertAlign val="subscript"/>
      <sz val="10"/>
      <name val="Arial"/>
      <family val="2"/>
    </font>
    <font>
      <i/>
      <sz val="10"/>
      <name val="Arial"/>
      <family val="2"/>
    </font>
    <font>
      <sz val="10"/>
      <name val="Arial"/>
      <family val="2"/>
    </font>
    <font>
      <sz val="8"/>
      <name val="Arial"/>
      <family val="2"/>
    </font>
    <font>
      <b/>
      <sz val="12"/>
      <color indexed="9"/>
      <name val="Arial"/>
      <family val="2"/>
    </font>
    <font>
      <b/>
      <sz val="12"/>
      <color indexed="8"/>
      <name val="Arial"/>
      <family val="2"/>
    </font>
    <font>
      <b/>
      <sz val="16"/>
      <color indexed="9"/>
      <name val="Arial"/>
      <family val="2"/>
    </font>
    <font>
      <b/>
      <sz val="14"/>
      <color indexed="9"/>
      <name val="Arial"/>
      <family val="2"/>
    </font>
    <font>
      <sz val="12"/>
      <name val="Arial"/>
      <family val="2"/>
    </font>
    <font>
      <b/>
      <sz val="12"/>
      <name val="Arial"/>
      <family val="2"/>
    </font>
    <font>
      <sz val="11"/>
      <name val="Arial"/>
      <family val="2"/>
    </font>
    <font>
      <b/>
      <sz val="11"/>
      <name val="Arial"/>
      <family val="2"/>
    </font>
    <font>
      <sz val="11"/>
      <color indexed="12"/>
      <name val="Arial"/>
      <family val="2"/>
    </font>
    <font>
      <i/>
      <sz val="11"/>
      <name val="Arial"/>
      <family val="2"/>
    </font>
    <font>
      <b/>
      <i/>
      <sz val="12"/>
      <name val="Arial"/>
      <family val="2"/>
    </font>
    <font>
      <b/>
      <sz val="16"/>
      <color indexed="8"/>
      <name val="Arial"/>
      <family val="2"/>
    </font>
    <font>
      <b/>
      <sz val="36"/>
      <name val="Verdana"/>
      <family val="2"/>
    </font>
    <font>
      <b/>
      <sz val="14"/>
      <color indexed="13"/>
      <name val="Arial"/>
      <family val="2"/>
    </font>
    <font>
      <b/>
      <sz val="16"/>
      <name val="Arial"/>
      <family val="2"/>
    </font>
    <font>
      <b/>
      <sz val="11"/>
      <color rgb="FFFF0000"/>
      <name val="Arial"/>
      <family val="2"/>
    </font>
    <font>
      <sz val="14"/>
      <name val="Arial"/>
      <family val="2"/>
    </font>
    <font>
      <sz val="10"/>
      <color theme="1"/>
      <name val="Arial"/>
      <family val="2"/>
    </font>
    <font>
      <i/>
      <sz val="8"/>
      <name val="Arial"/>
      <family val="2"/>
    </font>
    <font>
      <b/>
      <sz val="9"/>
      <color indexed="81"/>
      <name val="Segoe UI"/>
      <family val="2"/>
    </font>
    <font>
      <sz val="10"/>
      <color rgb="FFFF0000"/>
      <name val="Arial"/>
      <family val="2"/>
    </font>
    <font>
      <vertAlign val="subscript"/>
      <sz val="12"/>
      <name val="Arial"/>
      <family val="2"/>
    </font>
    <font>
      <b/>
      <i/>
      <sz val="14"/>
      <name val="Arial"/>
      <family val="2"/>
    </font>
    <font>
      <b/>
      <sz val="20"/>
      <color indexed="9"/>
      <name val="Arial"/>
      <family val="2"/>
    </font>
    <font>
      <b/>
      <sz val="18"/>
      <color indexed="9"/>
      <name val="Arial"/>
      <family val="2"/>
    </font>
    <font>
      <b/>
      <sz val="14"/>
      <name val="Arial"/>
      <family val="2"/>
    </font>
    <font>
      <i/>
      <sz val="14"/>
      <name val="Arial"/>
      <family val="2"/>
    </font>
    <font>
      <sz val="14"/>
      <color theme="1"/>
      <name val="Arial"/>
      <family val="2"/>
    </font>
    <font>
      <sz val="14"/>
      <color indexed="12"/>
      <name val="Arial"/>
      <family val="2"/>
    </font>
    <font>
      <b/>
      <sz val="14"/>
      <color theme="1"/>
      <name val="Arial"/>
      <family val="2"/>
    </font>
    <font>
      <sz val="14"/>
      <color rgb="FF0070C0"/>
      <name val="Arial"/>
      <family val="2"/>
    </font>
    <font>
      <b/>
      <sz val="14"/>
      <color rgb="FF0070C0"/>
      <name val="Arial"/>
      <family val="2"/>
    </font>
    <font>
      <b/>
      <sz val="18"/>
      <name val="Arial"/>
      <family val="2"/>
    </font>
    <font>
      <sz val="16"/>
      <name val="Arial"/>
      <family val="2"/>
    </font>
    <font>
      <sz val="10"/>
      <name val="Arial"/>
      <family val="2"/>
    </font>
    <font>
      <b/>
      <sz val="9"/>
      <color indexed="81"/>
      <name val="Tahoma"/>
      <family val="2"/>
    </font>
    <font>
      <sz val="10"/>
      <color rgb="FF00B050"/>
      <name val="Arial"/>
      <family val="2"/>
    </font>
    <font>
      <b/>
      <sz val="14"/>
      <color indexed="8"/>
      <name val="Arial"/>
      <family val="2"/>
    </font>
    <font>
      <sz val="8"/>
      <name val="Tahoma"/>
      <family val="2"/>
    </font>
    <font>
      <b/>
      <sz val="11"/>
      <color theme="1"/>
      <name val="Calibri"/>
      <family val="2"/>
      <scheme val="minor"/>
    </font>
    <font>
      <sz val="9"/>
      <color theme="1"/>
      <name val="Calibri"/>
      <family val="2"/>
      <scheme val="minor"/>
    </font>
    <font>
      <i/>
      <sz val="11"/>
      <color theme="1"/>
      <name val="Calibri"/>
      <family val="2"/>
      <scheme val="minor"/>
    </font>
    <font>
      <vertAlign val="superscript"/>
      <sz val="11"/>
      <color theme="1"/>
      <name val="Calibri"/>
      <family val="2"/>
      <scheme val="minor"/>
    </font>
    <font>
      <b/>
      <i/>
      <sz val="11"/>
      <color theme="1"/>
      <name val="Calibri"/>
      <family val="2"/>
      <scheme val="minor"/>
    </font>
    <font>
      <b/>
      <sz val="9"/>
      <color theme="1"/>
      <name val="Calibri"/>
      <family val="2"/>
      <scheme val="minor"/>
    </font>
    <font>
      <i/>
      <vertAlign val="subscript"/>
      <sz val="11"/>
      <color theme="1"/>
      <name val="Calibri"/>
      <family val="2"/>
      <scheme val="minor"/>
    </font>
    <font>
      <sz val="9"/>
      <color theme="1"/>
      <name val="Calibri"/>
      <family val="2"/>
    </font>
    <font>
      <b/>
      <vertAlign val="superscript"/>
      <sz val="11"/>
      <color theme="1"/>
      <name val="Calibri"/>
      <family val="2"/>
      <scheme val="minor"/>
    </font>
    <font>
      <sz val="9"/>
      <color theme="0" tint="-0.34998626667073579"/>
      <name val="Calibri"/>
      <family val="2"/>
      <scheme val="minor"/>
    </font>
    <font>
      <b/>
      <sz val="10"/>
      <color theme="1"/>
      <name val="Calibri"/>
      <family val="2"/>
      <scheme val="minor"/>
    </font>
    <font>
      <b/>
      <vertAlign val="subscript"/>
      <sz val="11"/>
      <color theme="1"/>
      <name val="Calibri"/>
      <family val="2"/>
      <scheme val="minor"/>
    </font>
    <font>
      <sz val="10"/>
      <color theme="1"/>
      <name val="Calibri"/>
      <family val="2"/>
      <scheme val="minor"/>
    </font>
    <font>
      <sz val="16"/>
      <color rgb="FF0070C0"/>
      <name val="Arial"/>
      <family val="2"/>
    </font>
    <font>
      <sz val="11"/>
      <name val="Segoe UI"/>
      <family val="2"/>
    </font>
    <font>
      <sz val="7"/>
      <color rgb="FF242424"/>
      <name val="Segoe UI"/>
      <family val="2"/>
    </font>
    <font>
      <b/>
      <sz val="16"/>
      <color rgb="FF000000"/>
      <name val="Arial"/>
      <family val="2"/>
    </font>
    <font>
      <b/>
      <sz val="10"/>
      <color rgb="FFFF0000"/>
      <name val="Calibri"/>
      <family val="2"/>
      <scheme val="minor"/>
    </font>
    <font>
      <b/>
      <sz val="8"/>
      <color rgb="FFFF0000"/>
      <name val="Calibri"/>
      <family val="2"/>
      <scheme val="minor"/>
    </font>
    <font>
      <b/>
      <sz val="10"/>
      <name val="Calibri"/>
      <family val="2"/>
      <scheme val="minor"/>
    </font>
    <font>
      <sz val="10"/>
      <name val="Calibri"/>
      <family val="2"/>
      <scheme val="minor"/>
    </font>
  </fonts>
  <fills count="2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1"/>
        <bgColor indexed="64"/>
      </patternFill>
    </fill>
    <fill>
      <patternFill patternType="solid">
        <fgColor indexed="43"/>
        <bgColor indexed="64"/>
      </patternFill>
    </fill>
    <fill>
      <patternFill patternType="solid">
        <fgColor indexed="47"/>
        <bgColor indexed="64"/>
      </patternFill>
    </fill>
    <fill>
      <patternFill patternType="solid">
        <fgColor indexed="23"/>
        <bgColor indexed="64"/>
      </patternFill>
    </fill>
    <fill>
      <patternFill patternType="solid">
        <fgColor indexed="60"/>
        <bgColor indexed="64"/>
      </patternFill>
    </fill>
    <fill>
      <patternFill patternType="solid">
        <fgColor indexed="52"/>
        <bgColor indexed="64"/>
      </patternFill>
    </fill>
    <fill>
      <patternFill patternType="solid">
        <fgColor indexed="50"/>
        <bgColor indexed="64"/>
      </patternFill>
    </fill>
    <fill>
      <patternFill patternType="solid">
        <fgColor indexed="40"/>
        <bgColor indexed="64"/>
      </patternFill>
    </fill>
    <fill>
      <patternFill patternType="solid">
        <fgColor indexed="13"/>
        <bgColor indexed="64"/>
      </patternFill>
    </fill>
    <fill>
      <patternFill patternType="solid">
        <fgColor indexed="4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rgb="FF00B050"/>
        <bgColor indexed="64"/>
      </patternFill>
    </fill>
    <fill>
      <patternFill patternType="solid">
        <fgColor rgb="FFFFFF99"/>
        <bgColor indexed="64"/>
      </patternFill>
    </fill>
    <fill>
      <patternFill patternType="solid">
        <fgColor theme="3" tint="0.79998168889431442"/>
        <bgColor indexed="64"/>
      </patternFill>
    </fill>
    <fill>
      <patternFill patternType="solid">
        <fgColor theme="6" tint="0.59999389629810485"/>
        <bgColor indexed="64"/>
      </patternFill>
    </fill>
  </fills>
  <borders count="23">
    <border>
      <left/>
      <right/>
      <top/>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dashed">
        <color indexed="64"/>
      </top>
      <bottom style="dashed">
        <color indexed="64"/>
      </bottom>
      <diagonal/>
    </border>
    <border>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dashed">
        <color indexed="64"/>
      </top>
      <bottom style="thin">
        <color indexed="64"/>
      </bottom>
      <diagonal/>
    </border>
    <border>
      <left style="thin">
        <color indexed="64"/>
      </left>
      <right/>
      <top style="thin">
        <color indexed="64"/>
      </top>
      <bottom style="dashed">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12">
    <xf numFmtId="0" fontId="0" fillId="0" borderId="0"/>
    <xf numFmtId="43" fontId="4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2" fillId="0" borderId="0" applyFont="0" applyFill="0" applyBorder="0" applyAlignment="0" applyProtection="0"/>
    <xf numFmtId="17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46" fillId="0" borderId="0"/>
    <xf numFmtId="0" fontId="1" fillId="0" borderId="0"/>
  </cellStyleXfs>
  <cellXfs count="603">
    <xf numFmtId="0" fontId="0" fillId="0" borderId="0" xfId="0"/>
    <xf numFmtId="0" fontId="3" fillId="0" borderId="0" xfId="0" applyFont="1" applyAlignment="1">
      <alignment vertical="center"/>
    </xf>
    <xf numFmtId="0" fontId="0" fillId="0" borderId="0" xfId="0" applyAlignment="1">
      <alignment horizontal="center" vertical="center"/>
    </xf>
    <xf numFmtId="0" fontId="6" fillId="0" borderId="0" xfId="0" applyFont="1" applyAlignment="1">
      <alignment horizontal="center" vertical="center"/>
    </xf>
    <xf numFmtId="0" fontId="5" fillId="0" borderId="2" xfId="0" applyFont="1" applyBorder="1" applyAlignment="1">
      <alignment horizontal="center" vertical="center"/>
    </xf>
    <xf numFmtId="0" fontId="0" fillId="0" borderId="0" xfId="0" applyAlignment="1">
      <alignment vertical="center"/>
    </xf>
    <xf numFmtId="0" fontId="5" fillId="0" borderId="3" xfId="0" applyFont="1" applyBorder="1" applyAlignment="1">
      <alignment horizontal="center" vertical="center"/>
    </xf>
    <xf numFmtId="0" fontId="13" fillId="4" borderId="3" xfId="0" applyFont="1" applyFill="1" applyBorder="1" applyAlignment="1">
      <alignment horizontal="center" vertical="center"/>
    </xf>
    <xf numFmtId="0" fontId="18" fillId="6" borderId="6" xfId="0" applyFont="1" applyFill="1" applyBorder="1" applyAlignment="1">
      <alignment horizontal="center" vertical="center"/>
    </xf>
    <xf numFmtId="0" fontId="18" fillId="0" borderId="3" xfId="0" applyFont="1" applyBorder="1" applyAlignment="1">
      <alignment horizontal="center" vertical="center"/>
    </xf>
    <xf numFmtId="0" fontId="15" fillId="0" borderId="0" xfId="0" applyFont="1" applyAlignment="1">
      <alignment horizontal="right" vertical="center"/>
    </xf>
    <xf numFmtId="0" fontId="17" fillId="0" borderId="3" xfId="0" applyFont="1" applyBorder="1" applyAlignment="1">
      <alignment horizontal="center" vertical="center"/>
    </xf>
    <xf numFmtId="1" fontId="16" fillId="0" borderId="0" xfId="0" applyNumberFormat="1" applyFont="1" applyAlignment="1">
      <alignment horizontal="center" vertical="center"/>
    </xf>
    <xf numFmtId="0" fontId="10" fillId="7" borderId="14" xfId="0" applyFont="1" applyFill="1" applyBorder="1" applyAlignment="1">
      <alignment vertical="center"/>
    </xf>
    <xf numFmtId="0" fontId="10" fillId="7" borderId="16" xfId="0" applyFont="1" applyFill="1" applyBorder="1" applyAlignment="1">
      <alignment vertical="center"/>
    </xf>
    <xf numFmtId="0" fontId="10" fillId="7" borderId="15" xfId="0" applyFont="1" applyFill="1" applyBorder="1" applyAlignment="1">
      <alignment vertical="center"/>
    </xf>
    <xf numFmtId="0" fontId="2" fillId="0" borderId="0" xfId="0" applyFont="1" applyAlignment="1">
      <alignment vertical="center"/>
    </xf>
    <xf numFmtId="13" fontId="13" fillId="4" borderId="3" xfId="0" applyNumberFormat="1" applyFont="1" applyFill="1" applyBorder="1" applyAlignment="1">
      <alignment horizontal="center" vertic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5" fillId="16" borderId="0" xfId="0" applyFont="1" applyFill="1" applyAlignment="1">
      <alignment horizontal="right" vertical="center"/>
    </xf>
    <xf numFmtId="0" fontId="0" fillId="0" borderId="3" xfId="0" applyBorder="1" applyAlignment="1">
      <alignment vertical="center"/>
    </xf>
    <xf numFmtId="0" fontId="2" fillId="0" borderId="3" xfId="0" applyFont="1" applyBorder="1" applyAlignment="1">
      <alignment horizontal="center" vertical="center" wrapText="1"/>
    </xf>
    <xf numFmtId="0" fontId="0" fillId="16" borderId="0" xfId="0" applyFill="1" applyAlignment="1">
      <alignment vertical="center"/>
    </xf>
    <xf numFmtId="0" fontId="12" fillId="16" borderId="0" xfId="0" applyFont="1" applyFill="1" applyAlignment="1">
      <alignment vertical="center"/>
    </xf>
    <xf numFmtId="0" fontId="10" fillId="16" borderId="0" xfId="0" applyFont="1" applyFill="1" applyAlignment="1">
      <alignment vertical="center"/>
    </xf>
    <xf numFmtId="0" fontId="5" fillId="16" borderId="0" xfId="0" applyFont="1" applyFill="1" applyAlignment="1">
      <alignment horizontal="center" vertical="center"/>
    </xf>
    <xf numFmtId="0" fontId="16" fillId="16" borderId="0" xfId="0" applyFont="1" applyFill="1" applyAlignment="1">
      <alignment vertical="center"/>
    </xf>
    <xf numFmtId="13" fontId="5" fillId="0" borderId="12" xfId="0" applyNumberFormat="1" applyFont="1" applyBorder="1" applyAlignment="1">
      <alignment horizontal="center" vertical="center"/>
    </xf>
    <xf numFmtId="0" fontId="0" fillId="0" borderId="0" xfId="0" applyAlignment="1">
      <alignment horizontal="center"/>
    </xf>
    <xf numFmtId="0" fontId="2" fillId="0" borderId="0" xfId="0" applyFont="1"/>
    <xf numFmtId="1" fontId="14" fillId="0" borderId="0" xfId="0" applyNumberFormat="1" applyFont="1" applyAlignment="1">
      <alignment horizontal="center" vertical="center"/>
    </xf>
    <xf numFmtId="0" fontId="15" fillId="0" borderId="0" xfId="0" applyFont="1" applyAlignment="1">
      <alignment vertical="center"/>
    </xf>
    <xf numFmtId="0" fontId="11" fillId="0" borderId="0" xfId="0" applyFont="1" applyAlignment="1">
      <alignment vertical="center"/>
    </xf>
    <xf numFmtId="0" fontId="17" fillId="0" borderId="0" xfId="0" applyFont="1" applyAlignment="1">
      <alignment vertical="center" shrinkToFit="1"/>
    </xf>
    <xf numFmtId="0" fontId="17" fillId="0" borderId="3" xfId="0" applyFont="1" applyBorder="1" applyAlignment="1" applyProtection="1">
      <alignment horizontal="center" vertical="center"/>
      <protection locked="0"/>
    </xf>
    <xf numFmtId="165" fontId="17" fillId="0" borderId="3" xfId="0" applyNumberFormat="1" applyFont="1" applyBorder="1" applyAlignment="1" applyProtection="1">
      <alignment horizontal="center" vertical="center"/>
      <protection locked="0"/>
    </xf>
    <xf numFmtId="14" fontId="17" fillId="0" borderId="3" xfId="0" applyNumberFormat="1" applyFont="1" applyBorder="1" applyAlignment="1" applyProtection="1">
      <alignment horizontal="center" vertical="center"/>
      <protection locked="0"/>
    </xf>
    <xf numFmtId="13" fontId="2" fillId="0" borderId="0" xfId="0" applyNumberFormat="1" applyFont="1" applyAlignment="1">
      <alignment vertical="center"/>
    </xf>
    <xf numFmtId="0" fontId="5" fillId="0" borderId="3" xfId="0" applyFont="1" applyBorder="1" applyAlignment="1">
      <alignment horizontal="center" vertical="center" wrapText="1"/>
    </xf>
    <xf numFmtId="0" fontId="26" fillId="0" borderId="3" xfId="0" applyFont="1" applyBorder="1" applyAlignment="1">
      <alignment horizontal="center" vertical="center" wrapText="1"/>
    </xf>
    <xf numFmtId="49" fontId="2" fillId="0" borderId="3" xfId="0" applyNumberFormat="1" applyFont="1" applyBorder="1" applyAlignment="1">
      <alignment horizontal="center" vertical="center" wrapText="1"/>
    </xf>
    <xf numFmtId="13" fontId="5" fillId="0" borderId="3" xfId="0" applyNumberFormat="1" applyFont="1" applyBorder="1" applyAlignment="1">
      <alignment horizontal="center" vertical="center"/>
    </xf>
    <xf numFmtId="0" fontId="19"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0" fillId="0" borderId="3" xfId="0" applyBorder="1" applyAlignment="1">
      <alignment horizontal="center" vertical="center"/>
    </xf>
    <xf numFmtId="167" fontId="18" fillId="13" borderId="14" xfId="0" applyNumberFormat="1" applyFont="1" applyFill="1" applyBorder="1" applyAlignment="1">
      <alignment horizontal="center" vertical="center" wrapText="1"/>
    </xf>
    <xf numFmtId="164" fontId="12" fillId="16" borderId="0" xfId="0" applyNumberFormat="1" applyFont="1" applyFill="1" applyAlignment="1">
      <alignment vertical="center" wrapText="1"/>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22" fontId="14" fillId="0" borderId="0" xfId="0" applyNumberFormat="1" applyFont="1" applyAlignment="1">
      <alignment horizontal="center" vertical="center"/>
    </xf>
    <xf numFmtId="0" fontId="17" fillId="0" borderId="0" xfId="0" applyFont="1" applyAlignment="1">
      <alignment horizontal="center" vertical="center"/>
    </xf>
    <xf numFmtId="166" fontId="14" fillId="0" borderId="0" xfId="0" applyNumberFormat="1" applyFont="1" applyAlignment="1">
      <alignment horizontal="center" vertical="center"/>
    </xf>
    <xf numFmtId="0" fontId="21" fillId="0" borderId="0" xfId="0" applyFont="1" applyAlignment="1">
      <alignment horizontal="center" vertical="center"/>
    </xf>
    <xf numFmtId="0" fontId="18" fillId="5" borderId="14" xfId="0" applyFont="1" applyFill="1" applyBorder="1" applyAlignment="1">
      <alignment horizontal="center" vertical="center" wrapText="1"/>
    </xf>
    <xf numFmtId="0" fontId="2" fillId="0" borderId="0" xfId="0" applyFont="1" applyAlignment="1">
      <alignment horizontal="center" vertical="center"/>
    </xf>
    <xf numFmtId="0" fontId="2" fillId="0" borderId="6" xfId="0" applyFont="1" applyBorder="1" applyAlignment="1">
      <alignment horizontal="center" vertical="center"/>
    </xf>
    <xf numFmtId="0" fontId="2" fillId="0" borderId="0" xfId="0" applyFont="1" applyAlignment="1">
      <alignment horizontal="center" vertical="center" wrapText="1"/>
    </xf>
    <xf numFmtId="0" fontId="15" fillId="0" borderId="3" xfId="0" applyFont="1" applyBorder="1" applyAlignment="1">
      <alignment horizontal="center" vertical="center"/>
    </xf>
    <xf numFmtId="0" fontId="18" fillId="6" borderId="3" xfId="0" applyFont="1" applyFill="1" applyBorder="1" applyAlignment="1">
      <alignment horizontal="center" vertical="center"/>
    </xf>
    <xf numFmtId="0" fontId="5" fillId="0" borderId="14" xfId="0" applyFont="1" applyBorder="1" applyAlignment="1">
      <alignment horizontal="center" vertical="center"/>
    </xf>
    <xf numFmtId="0" fontId="18" fillId="5" borderId="3" xfId="0" applyFont="1" applyFill="1" applyBorder="1" applyAlignment="1">
      <alignment horizontal="center" vertical="center"/>
    </xf>
    <xf numFmtId="0" fontId="10" fillId="16" borderId="20" xfId="0" applyFont="1" applyFill="1" applyBorder="1" applyAlignment="1">
      <alignment vertical="center"/>
    </xf>
    <xf numFmtId="164" fontId="12" fillId="0" borderId="3" xfId="0" applyNumberFormat="1" applyFont="1" applyBorder="1" applyAlignment="1" applyProtection="1">
      <alignment horizontal="center" vertical="center"/>
      <protection locked="0"/>
    </xf>
    <xf numFmtId="0" fontId="3" fillId="2" borderId="18" xfId="0" applyFont="1" applyFill="1" applyBorder="1" applyAlignment="1">
      <alignment horizontal="center"/>
    </xf>
    <xf numFmtId="0" fontId="3" fillId="2" borderId="19" xfId="0" applyFont="1" applyFill="1" applyBorder="1" applyAlignment="1">
      <alignment horizontal="center"/>
    </xf>
    <xf numFmtId="0" fontId="3" fillId="2" borderId="5" xfId="0" applyFont="1" applyFill="1" applyBorder="1" applyAlignment="1">
      <alignment horizontal="center"/>
    </xf>
    <xf numFmtId="0" fontId="3" fillId="2" borderId="17" xfId="0" applyFont="1" applyFill="1" applyBorder="1" applyAlignment="1">
      <alignment horizontal="center"/>
    </xf>
    <xf numFmtId="0" fontId="2" fillId="0" borderId="15" xfId="0" applyFont="1" applyBorder="1" applyAlignment="1" applyProtection="1">
      <alignment horizontal="center"/>
      <protection locked="0"/>
    </xf>
    <xf numFmtId="0" fontId="2" fillId="0" borderId="3" xfId="0" applyFont="1" applyBorder="1" applyAlignment="1" applyProtection="1">
      <alignment horizontal="center"/>
      <protection locked="0"/>
    </xf>
    <xf numFmtId="169" fontId="2" fillId="0" borderId="3" xfId="0" applyNumberFormat="1"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16" borderId="15" xfId="0" applyFont="1" applyFill="1" applyBorder="1" applyAlignment="1" applyProtection="1">
      <alignment horizontal="center"/>
      <protection locked="0"/>
    </xf>
    <xf numFmtId="0" fontId="2" fillId="16" borderId="3" xfId="0" applyFont="1" applyFill="1" applyBorder="1" applyAlignment="1" applyProtection="1">
      <alignment horizontal="center"/>
      <protection locked="0"/>
    </xf>
    <xf numFmtId="169" fontId="2" fillId="16" borderId="3" xfId="0" applyNumberFormat="1" applyFont="1" applyFill="1" applyBorder="1" applyAlignment="1" applyProtection="1">
      <alignment horizontal="center"/>
      <protection locked="0"/>
    </xf>
    <xf numFmtId="0" fontId="2" fillId="16" borderId="14" xfId="0" applyFont="1" applyFill="1" applyBorder="1" applyAlignment="1" applyProtection="1">
      <alignment horizontal="center"/>
      <protection locked="0"/>
    </xf>
    <xf numFmtId="0" fontId="28" fillId="17" borderId="15" xfId="0" applyFont="1" applyFill="1" applyBorder="1" applyAlignment="1" applyProtection="1">
      <alignment horizontal="center"/>
      <protection locked="0"/>
    </xf>
    <xf numFmtId="0" fontId="28" fillId="17" borderId="3" xfId="0" applyFont="1" applyFill="1" applyBorder="1" applyAlignment="1" applyProtection="1">
      <alignment horizontal="center"/>
      <protection locked="0"/>
    </xf>
    <xf numFmtId="169" fontId="28" fillId="17" borderId="3" xfId="0" applyNumberFormat="1" applyFont="1" applyFill="1" applyBorder="1" applyAlignment="1" applyProtection="1">
      <alignment horizontal="center"/>
      <protection locked="0"/>
    </xf>
    <xf numFmtId="0" fontId="28" fillId="17" borderId="14" xfId="0" applyFont="1" applyFill="1" applyBorder="1" applyAlignment="1" applyProtection="1">
      <alignment horizontal="center"/>
      <protection locked="0"/>
    </xf>
    <xf numFmtId="0" fontId="15" fillId="0" borderId="14" xfId="0" applyFont="1" applyBorder="1" applyAlignment="1">
      <alignment horizontal="center" vertical="center"/>
    </xf>
    <xf numFmtId="0" fontId="12" fillId="0" borderId="3" xfId="0" applyFont="1" applyBorder="1" applyAlignment="1">
      <alignment horizontal="center" vertical="center"/>
    </xf>
    <xf numFmtId="0" fontId="12" fillId="0" borderId="3" xfId="0" applyFont="1" applyBorder="1" applyAlignment="1">
      <alignment horizontal="center" vertical="center" wrapText="1"/>
    </xf>
    <xf numFmtId="49" fontId="12" fillId="0" borderId="3" xfId="0" applyNumberFormat="1" applyFont="1" applyBorder="1" applyAlignment="1">
      <alignment horizontal="center" vertical="center" wrapText="1"/>
    </xf>
    <xf numFmtId="0" fontId="30" fillId="6" borderId="3" xfId="0" applyFont="1" applyFill="1" applyBorder="1" applyAlignment="1">
      <alignment horizontal="center" vertical="center"/>
    </xf>
    <xf numFmtId="167" fontId="30" fillId="13" borderId="14" xfId="0" applyNumberFormat="1" applyFont="1" applyFill="1" applyBorder="1" applyAlignment="1">
      <alignment horizontal="center" vertical="center" wrapText="1"/>
    </xf>
    <xf numFmtId="0" fontId="30" fillId="5" borderId="14" xfId="0" applyFont="1" applyFill="1" applyBorder="1" applyAlignment="1">
      <alignment horizontal="center" vertical="center" wrapText="1"/>
    </xf>
    <xf numFmtId="0" fontId="30" fillId="5" borderId="3" xfId="0" applyFont="1" applyFill="1" applyBorder="1" applyAlignment="1">
      <alignment horizontal="center" vertical="center"/>
    </xf>
    <xf numFmtId="164" fontId="22" fillId="15" borderId="3" xfId="0" applyNumberFormat="1" applyFont="1" applyFill="1" applyBorder="1" applyAlignment="1" applyProtection="1">
      <alignment horizontal="center" vertical="center"/>
      <protection locked="0"/>
    </xf>
    <xf numFmtId="0" fontId="34" fillId="0" borderId="5" xfId="0" applyFont="1" applyBorder="1" applyAlignment="1">
      <alignment horizontal="center" vertical="center"/>
    </xf>
    <xf numFmtId="0" fontId="34" fillId="0" borderId="3" xfId="0" applyFont="1" applyBorder="1" applyAlignment="1">
      <alignment horizontal="center" vertical="center"/>
    </xf>
    <xf numFmtId="0" fontId="24" fillId="0" borderId="15" xfId="0" applyFont="1" applyBorder="1" applyAlignment="1" applyProtection="1">
      <alignment horizontal="center" vertical="center"/>
      <protection locked="0"/>
    </xf>
    <xf numFmtId="0" fontId="12" fillId="0" borderId="15" xfId="0" applyFont="1" applyBorder="1" applyAlignment="1" applyProtection="1">
      <alignment horizontal="center" vertical="center"/>
      <protection locked="0"/>
    </xf>
    <xf numFmtId="0" fontId="13" fillId="0" borderId="3" xfId="0" applyFont="1" applyBorder="1" applyAlignment="1" applyProtection="1">
      <alignment horizontal="center" vertical="center"/>
      <protection locked="0"/>
    </xf>
    <xf numFmtId="164" fontId="13" fillId="0" borderId="3" xfId="0" applyNumberFormat="1" applyFont="1" applyBorder="1" applyAlignment="1" applyProtection="1">
      <alignment horizontal="center" vertical="center"/>
      <protection locked="0"/>
    </xf>
    <xf numFmtId="0" fontId="33" fillId="0" borderId="3" xfId="0" applyFont="1" applyBorder="1" applyAlignment="1">
      <alignment horizontal="center" vertical="center"/>
    </xf>
    <xf numFmtId="13" fontId="2" fillId="0" borderId="3" xfId="0" applyNumberFormat="1" applyFont="1" applyBorder="1" applyAlignment="1">
      <alignment horizontal="center" vertical="center"/>
    </xf>
    <xf numFmtId="0" fontId="2" fillId="18" borderId="3" xfId="0" applyFont="1" applyFill="1" applyBorder="1" applyAlignment="1">
      <alignment horizontal="center"/>
    </xf>
    <xf numFmtId="0" fontId="3" fillId="18" borderId="3" xfId="0" applyFont="1" applyFill="1" applyBorder="1" applyAlignment="1">
      <alignment horizontal="center"/>
    </xf>
    <xf numFmtId="0" fontId="2" fillId="0" borderId="3" xfId="0" applyFont="1" applyBorder="1" applyAlignment="1">
      <alignment horizontal="center"/>
    </xf>
    <xf numFmtId="0" fontId="0" fillId="0" borderId="3" xfId="0" applyBorder="1" applyAlignment="1">
      <alignment horizontal="center"/>
    </xf>
    <xf numFmtId="0" fontId="2" fillId="0" borderId="0" xfId="0" applyFont="1" applyAlignment="1">
      <alignment horizontal="center"/>
    </xf>
    <xf numFmtId="0" fontId="0" fillId="0" borderId="3" xfId="0" applyBorder="1" applyAlignment="1" applyProtection="1">
      <alignment horizontal="center" vertical="center"/>
      <protection locked="0"/>
    </xf>
    <xf numFmtId="0" fontId="28" fillId="0" borderId="3" xfId="0" applyFont="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 xfId="0" applyBorder="1" applyAlignment="1">
      <alignment horizontal="center" vertical="center"/>
    </xf>
    <xf numFmtId="0" fontId="3" fillId="21" borderId="3" xfId="0" applyFont="1" applyFill="1" applyBorder="1" applyAlignment="1">
      <alignment horizontal="center" vertical="center"/>
    </xf>
    <xf numFmtId="0" fontId="3" fillId="17" borderId="3" xfId="0" applyFont="1" applyFill="1" applyBorder="1" applyAlignment="1">
      <alignment horizontal="center" vertical="center"/>
    </xf>
    <xf numFmtId="0" fontId="3" fillId="22" borderId="3" xfId="0" applyFont="1" applyFill="1" applyBorder="1" applyAlignment="1">
      <alignment horizontal="center" vertical="center"/>
    </xf>
    <xf numFmtId="0" fontId="0" fillId="0" borderId="22" xfId="0" quotePrefix="1" applyBorder="1" applyAlignment="1">
      <alignment horizontal="center" vertical="center" wrapText="1"/>
    </xf>
    <xf numFmtId="0" fontId="0" fillId="0" borderId="21" xfId="0" quotePrefix="1" applyBorder="1" applyAlignment="1">
      <alignment horizontal="center" vertical="center" wrapText="1"/>
    </xf>
    <xf numFmtId="0" fontId="0" fillId="0" borderId="0" xfId="0" applyAlignment="1">
      <alignment horizontal="center" vertical="center" wrapText="1"/>
    </xf>
    <xf numFmtId="165" fontId="2" fillId="0" borderId="0" xfId="0" quotePrefix="1" applyNumberFormat="1" applyFont="1" applyAlignment="1">
      <alignment vertical="center"/>
    </xf>
    <xf numFmtId="165" fontId="2" fillId="0" borderId="0" xfId="0" applyNumberFormat="1" applyFont="1" applyAlignment="1">
      <alignment vertical="center"/>
    </xf>
    <xf numFmtId="0" fontId="2" fillId="0" borderId="5" xfId="0" applyFont="1" applyBorder="1" applyAlignment="1">
      <alignment horizontal="center" vertical="center"/>
    </xf>
    <xf numFmtId="165" fontId="0" fillId="0" borderId="0" xfId="0" quotePrefix="1" applyNumberFormat="1" applyAlignment="1">
      <alignment vertical="center"/>
    </xf>
    <xf numFmtId="0" fontId="0" fillId="0" borderId="3" xfId="0" quotePrefix="1" applyBorder="1" applyAlignment="1">
      <alignment horizontal="center" vertical="center" wrapText="1"/>
    </xf>
    <xf numFmtId="0" fontId="0" fillId="0" borderId="3" xfId="0" applyBorder="1" applyAlignment="1">
      <alignment horizontal="center" vertical="center" wrapText="1"/>
    </xf>
    <xf numFmtId="0" fontId="2" fillId="0" borderId="3" xfId="0" applyFont="1" applyBorder="1" applyAlignment="1">
      <alignment vertical="center" wrapText="1"/>
    </xf>
    <xf numFmtId="165" fontId="2" fillId="0" borderId="3" xfId="0" quotePrefix="1" applyNumberFormat="1" applyFont="1" applyBorder="1" applyAlignment="1">
      <alignment horizontal="center" vertical="center" wrapText="1"/>
    </xf>
    <xf numFmtId="0" fontId="24" fillId="5" borderId="3" xfId="0" applyFont="1" applyFill="1" applyBorder="1" applyAlignment="1">
      <alignment horizontal="center" wrapText="1"/>
    </xf>
    <xf numFmtId="4" fontId="12" fillId="23" borderId="3" xfId="0" applyNumberFormat="1" applyFont="1" applyFill="1" applyBorder="1" applyAlignment="1" applyProtection="1">
      <alignment horizontal="center" vertical="center"/>
      <protection locked="0"/>
    </xf>
    <xf numFmtId="164" fontId="12" fillId="23" borderId="3" xfId="0" applyNumberFormat="1" applyFont="1" applyFill="1" applyBorder="1" applyAlignment="1" applyProtection="1">
      <alignment horizontal="center" vertical="center"/>
      <protection locked="0"/>
    </xf>
    <xf numFmtId="165" fontId="2" fillId="0" borderId="0" xfId="0" quotePrefix="1" applyNumberFormat="1" applyFont="1" applyAlignment="1">
      <alignment horizontal="center" vertical="center"/>
    </xf>
    <xf numFmtId="165" fontId="2" fillId="0" borderId="0" xfId="0" applyNumberFormat="1" applyFont="1" applyAlignment="1">
      <alignment horizontal="center" vertical="center"/>
    </xf>
    <xf numFmtId="164" fontId="0" fillId="0" borderId="0" xfId="0" applyNumberFormat="1" applyAlignment="1">
      <alignment vertical="center"/>
    </xf>
    <xf numFmtId="0" fontId="0" fillId="18" borderId="3" xfId="0" applyFill="1" applyBorder="1" applyAlignment="1">
      <alignment horizontal="center"/>
    </xf>
    <xf numFmtId="0" fontId="2" fillId="0" borderId="5" xfId="0" applyFont="1" applyBorder="1" applyAlignment="1" applyProtection="1">
      <alignment horizontal="center"/>
      <protection locked="0"/>
    </xf>
    <xf numFmtId="0" fontId="2" fillId="18" borderId="15" xfId="0" applyFont="1" applyFill="1" applyBorder="1" applyAlignment="1" applyProtection="1">
      <alignment horizontal="center"/>
      <protection locked="0"/>
    </xf>
    <xf numFmtId="0" fontId="0" fillId="18" borderId="0" xfId="0" applyFill="1"/>
    <xf numFmtId="0" fontId="2" fillId="18" borderId="3" xfId="0" applyFont="1" applyFill="1" applyBorder="1" applyAlignment="1" applyProtection="1">
      <alignment horizontal="center"/>
      <protection locked="0"/>
    </xf>
    <xf numFmtId="169" fontId="2" fillId="18" borderId="3" xfId="0" applyNumberFormat="1" applyFont="1" applyFill="1" applyBorder="1" applyAlignment="1" applyProtection="1">
      <alignment horizontal="center"/>
      <protection locked="0"/>
    </xf>
    <xf numFmtId="0" fontId="2" fillId="18" borderId="14" xfId="0" applyFont="1" applyFill="1" applyBorder="1" applyAlignment="1" applyProtection="1">
      <alignment horizontal="center"/>
      <protection locked="0"/>
    </xf>
    <xf numFmtId="0" fontId="0" fillId="18" borderId="0" xfId="0" applyFill="1" applyAlignment="1">
      <alignment horizontal="center" vertical="center"/>
    </xf>
    <xf numFmtId="49" fontId="2" fillId="18" borderId="3" xfId="0" applyNumberFormat="1" applyFont="1" applyFill="1" applyBorder="1" applyAlignment="1">
      <alignment horizontal="center" vertical="center" wrapText="1"/>
    </xf>
    <xf numFmtId="0" fontId="2" fillId="18" borderId="3" xfId="0" applyFont="1" applyFill="1" applyBorder="1" applyAlignment="1">
      <alignment horizontal="center" vertical="center"/>
    </xf>
    <xf numFmtId="0" fontId="0" fillId="18" borderId="3" xfId="0" applyFill="1" applyBorder="1" applyAlignment="1">
      <alignment horizontal="center" vertical="center"/>
    </xf>
    <xf numFmtId="0" fontId="0" fillId="18" borderId="3" xfId="0" applyFill="1" applyBorder="1" applyAlignment="1" applyProtection="1">
      <alignment horizontal="center" vertical="center"/>
      <protection locked="0"/>
    </xf>
    <xf numFmtId="0" fontId="0" fillId="18" borderId="5" xfId="0" applyFill="1" applyBorder="1" applyAlignment="1" applyProtection="1">
      <alignment horizontal="center" vertical="center"/>
      <protection locked="0"/>
    </xf>
    <xf numFmtId="0" fontId="28" fillId="18" borderId="15" xfId="0" applyFont="1" applyFill="1" applyBorder="1" applyAlignment="1" applyProtection="1">
      <alignment horizontal="center"/>
      <protection locked="0"/>
    </xf>
    <xf numFmtId="0" fontId="28" fillId="18" borderId="3" xfId="0" applyFont="1" applyFill="1" applyBorder="1" applyAlignment="1" applyProtection="1">
      <alignment horizontal="center"/>
      <protection locked="0"/>
    </xf>
    <xf numFmtId="169" fontId="28" fillId="18" borderId="3" xfId="0" applyNumberFormat="1" applyFont="1" applyFill="1" applyBorder="1" applyAlignment="1" applyProtection="1">
      <alignment horizontal="center"/>
      <protection locked="0"/>
    </xf>
    <xf numFmtId="0" fontId="28" fillId="18" borderId="14" xfId="0" applyFont="1" applyFill="1" applyBorder="1" applyAlignment="1" applyProtection="1">
      <alignment horizontal="center"/>
      <protection locked="0"/>
    </xf>
    <xf numFmtId="0" fontId="28" fillId="18" borderId="9" xfId="0" applyFont="1" applyFill="1" applyBorder="1" applyAlignment="1" applyProtection="1">
      <alignment horizontal="center"/>
      <protection locked="0"/>
    </xf>
    <xf numFmtId="0" fontId="28" fillId="18" borderId="4" xfId="0" applyFont="1" applyFill="1" applyBorder="1" applyAlignment="1" applyProtection="1">
      <alignment horizontal="center"/>
      <protection locked="0"/>
    </xf>
    <xf numFmtId="169" fontId="28" fillId="18" borderId="4" xfId="0" applyNumberFormat="1" applyFont="1" applyFill="1" applyBorder="1" applyAlignment="1" applyProtection="1">
      <alignment horizontal="center"/>
      <protection locked="0"/>
    </xf>
    <xf numFmtId="0" fontId="28" fillId="18" borderId="11" xfId="0" applyFont="1" applyFill="1" applyBorder="1" applyAlignment="1" applyProtection="1">
      <alignment horizontal="center"/>
      <protection locked="0"/>
    </xf>
    <xf numFmtId="0" fontId="2" fillId="18" borderId="4" xfId="0" applyFont="1" applyFill="1" applyBorder="1" applyAlignment="1" applyProtection="1">
      <alignment horizontal="center"/>
      <protection locked="0"/>
    </xf>
    <xf numFmtId="0" fontId="28" fillId="18" borderId="3" xfId="0" applyFont="1" applyFill="1" applyBorder="1" applyAlignment="1" applyProtection="1">
      <alignment horizontal="center" vertical="center"/>
      <protection locked="0"/>
    </xf>
    <xf numFmtId="4" fontId="12" fillId="0" borderId="3" xfId="0" applyNumberFormat="1" applyFont="1" applyBorder="1" applyAlignment="1" applyProtection="1">
      <alignment horizontal="center" vertical="center"/>
      <protection locked="0"/>
    </xf>
    <xf numFmtId="0" fontId="44" fillId="0" borderId="3" xfId="0" applyFont="1" applyBorder="1" applyAlignment="1">
      <alignment horizontal="center"/>
    </xf>
    <xf numFmtId="0" fontId="44" fillId="18" borderId="3" xfId="0" applyFont="1" applyFill="1" applyBorder="1" applyAlignment="1">
      <alignment horizontal="center"/>
    </xf>
    <xf numFmtId="0" fontId="9" fillId="3" borderId="14" xfId="0" applyFont="1" applyFill="1" applyBorder="1" applyAlignment="1">
      <alignment vertical="center"/>
    </xf>
    <xf numFmtId="0" fontId="45" fillId="3" borderId="16" xfId="0" applyFont="1" applyFill="1" applyBorder="1" applyAlignment="1">
      <alignment vertical="center"/>
    </xf>
    <xf numFmtId="14" fontId="45" fillId="3" borderId="16" xfId="0" applyNumberFormat="1" applyFont="1" applyFill="1" applyBorder="1" applyAlignment="1">
      <alignment vertical="center"/>
    </xf>
    <xf numFmtId="14" fontId="19" fillId="3" borderId="16" xfId="0" applyNumberFormat="1" applyFont="1" applyFill="1" applyBorder="1" applyAlignment="1">
      <alignment vertical="center"/>
    </xf>
    <xf numFmtId="0" fontId="19" fillId="3" borderId="16" xfId="0" applyFont="1" applyFill="1" applyBorder="1" applyAlignment="1">
      <alignment vertical="center"/>
    </xf>
    <xf numFmtId="0" fontId="19" fillId="3" borderId="15" xfId="0" applyFont="1" applyFill="1" applyBorder="1" applyAlignment="1">
      <alignment vertical="center"/>
    </xf>
    <xf numFmtId="0" fontId="1" fillId="16" borderId="0" xfId="11" applyFill="1"/>
    <xf numFmtId="0" fontId="48" fillId="16" borderId="0" xfId="11" applyFont="1" applyFill="1"/>
    <xf numFmtId="0" fontId="1" fillId="16" borderId="0" xfId="11" applyFill="1" applyAlignment="1">
      <alignment vertical="top" wrapText="1"/>
    </xf>
    <xf numFmtId="0" fontId="48" fillId="16" borderId="0" xfId="11" applyFont="1" applyFill="1" applyAlignment="1">
      <alignment horizontal="center"/>
    </xf>
    <xf numFmtId="0" fontId="1" fillId="16" borderId="0" xfId="11" applyFill="1" applyAlignment="1">
      <alignment horizontal="center"/>
    </xf>
    <xf numFmtId="11" fontId="48" fillId="16" borderId="0" xfId="11" applyNumberFormat="1" applyFont="1" applyFill="1" applyAlignment="1">
      <alignment horizontal="center"/>
    </xf>
    <xf numFmtId="0" fontId="47" fillId="16" borderId="0" xfId="11" applyFont="1" applyFill="1"/>
    <xf numFmtId="0" fontId="49" fillId="16" borderId="16" xfId="11" applyFont="1" applyFill="1" applyBorder="1" applyAlignment="1">
      <alignment horizontal="center"/>
    </xf>
    <xf numFmtId="0" fontId="48" fillId="16" borderId="16" xfId="11" applyFont="1" applyFill="1" applyBorder="1"/>
    <xf numFmtId="0" fontId="54" fillId="16" borderId="16" xfId="11" applyFont="1" applyFill="1" applyBorder="1" applyAlignment="1">
      <alignment horizontal="center"/>
    </xf>
    <xf numFmtId="1" fontId="1" fillId="16" borderId="0" xfId="11" applyNumberFormat="1" applyFill="1" applyAlignment="1">
      <alignment horizontal="center"/>
    </xf>
    <xf numFmtId="174" fontId="48" fillId="16" borderId="0" xfId="11" applyNumberFormat="1" applyFont="1" applyFill="1"/>
    <xf numFmtId="175" fontId="48" fillId="16" borderId="0" xfId="11" applyNumberFormat="1" applyFont="1" applyFill="1"/>
    <xf numFmtId="176" fontId="48" fillId="16" borderId="0" xfId="11" applyNumberFormat="1" applyFont="1" applyFill="1"/>
    <xf numFmtId="1" fontId="1" fillId="16" borderId="18" xfId="11" applyNumberFormat="1" applyFill="1" applyBorder="1" applyAlignment="1">
      <alignment horizontal="center"/>
    </xf>
    <xf numFmtId="0" fontId="48" fillId="16" borderId="18" xfId="11" applyFont="1" applyFill="1" applyBorder="1"/>
    <xf numFmtId="176" fontId="48" fillId="16" borderId="18" xfId="11" applyNumberFormat="1" applyFont="1" applyFill="1" applyBorder="1"/>
    <xf numFmtId="0" fontId="54" fillId="16" borderId="18" xfId="11" applyFont="1" applyFill="1" applyBorder="1" applyAlignment="1">
      <alignment horizontal="right"/>
    </xf>
    <xf numFmtId="175" fontId="52" fillId="16" borderId="18" xfId="11" applyNumberFormat="1" applyFont="1" applyFill="1" applyBorder="1"/>
    <xf numFmtId="0" fontId="1" fillId="16" borderId="0" xfId="11" applyFill="1" applyAlignment="1">
      <alignment horizontal="right"/>
    </xf>
    <xf numFmtId="0" fontId="48" fillId="16" borderId="0" xfId="11" applyFont="1" applyFill="1" applyAlignment="1">
      <alignment horizontal="right"/>
    </xf>
    <xf numFmtId="11" fontId="48" fillId="16" borderId="0" xfId="11" applyNumberFormat="1" applyFont="1" applyFill="1" applyAlignment="1">
      <alignment horizontal="left"/>
    </xf>
    <xf numFmtId="1" fontId="48" fillId="16" borderId="0" xfId="11" applyNumberFormat="1" applyFont="1" applyFill="1" applyAlignment="1">
      <alignment horizontal="left"/>
    </xf>
    <xf numFmtId="0" fontId="54" fillId="16" borderId="0" xfId="11" applyFont="1" applyFill="1" applyAlignment="1">
      <alignment horizontal="center"/>
    </xf>
    <xf numFmtId="174" fontId="48" fillId="16" borderId="0" xfId="11" applyNumberFormat="1" applyFont="1" applyFill="1" applyAlignment="1">
      <alignment horizontal="center"/>
    </xf>
    <xf numFmtId="175" fontId="48" fillId="16" borderId="0" xfId="11" applyNumberFormat="1" applyFont="1" applyFill="1" applyAlignment="1">
      <alignment horizontal="center"/>
    </xf>
    <xf numFmtId="1" fontId="48" fillId="16" borderId="0" xfId="11" applyNumberFormat="1" applyFont="1" applyFill="1" applyAlignment="1">
      <alignment horizontal="right"/>
    </xf>
    <xf numFmtId="1" fontId="54" fillId="16" borderId="0" xfId="11" applyNumberFormat="1" applyFont="1" applyFill="1" applyAlignment="1">
      <alignment horizontal="right"/>
    </xf>
    <xf numFmtId="170" fontId="48" fillId="16" borderId="0" xfId="11" applyNumberFormat="1" applyFont="1" applyFill="1" applyAlignment="1">
      <alignment horizontal="center"/>
    </xf>
    <xf numFmtId="0" fontId="48" fillId="16" borderId="18" xfId="11" applyFont="1" applyFill="1" applyBorder="1" applyAlignment="1">
      <alignment horizontal="center"/>
    </xf>
    <xf numFmtId="0" fontId="56" fillId="16" borderId="0" xfId="11" applyFont="1" applyFill="1"/>
    <xf numFmtId="0" fontId="56" fillId="16" borderId="18" xfId="11" applyFont="1" applyFill="1" applyBorder="1"/>
    <xf numFmtId="0" fontId="48" fillId="16" borderId="18" xfId="11" applyFont="1" applyFill="1" applyBorder="1" applyAlignment="1">
      <alignment horizontal="right"/>
    </xf>
    <xf numFmtId="0" fontId="47" fillId="16" borderId="16" xfId="11" applyFont="1" applyFill="1" applyBorder="1" applyAlignment="1">
      <alignment horizontal="center"/>
    </xf>
    <xf numFmtId="2" fontId="47" fillId="16" borderId="16" xfId="11" applyNumberFormat="1" applyFont="1" applyFill="1" applyBorder="1" applyAlignment="1">
      <alignment horizontal="center"/>
    </xf>
    <xf numFmtId="2" fontId="57" fillId="16" borderId="15" xfId="11" applyNumberFormat="1" applyFont="1" applyFill="1" applyBorder="1" applyAlignment="1">
      <alignment horizontal="center"/>
    </xf>
    <xf numFmtId="2" fontId="57" fillId="16" borderId="14" xfId="11" applyNumberFormat="1" applyFont="1" applyFill="1" applyBorder="1" applyAlignment="1">
      <alignment horizontal="center"/>
    </xf>
    <xf numFmtId="165" fontId="1" fillId="24" borderId="16" xfId="11" applyNumberFormat="1" applyFill="1" applyBorder="1" applyAlignment="1">
      <alignment horizontal="center"/>
    </xf>
    <xf numFmtId="2" fontId="1" fillId="24" borderId="16" xfId="11" applyNumberFormat="1" applyFill="1" applyBorder="1" applyAlignment="1">
      <alignment horizontal="center"/>
    </xf>
    <xf numFmtId="1" fontId="1" fillId="24" borderId="9" xfId="11" applyNumberFormat="1" applyFill="1" applyBorder="1" applyAlignment="1">
      <alignment horizontal="center"/>
    </xf>
    <xf numFmtId="177" fontId="1" fillId="16" borderId="20" xfId="11" applyNumberFormat="1" applyFill="1" applyBorder="1" applyAlignment="1">
      <alignment horizontal="center"/>
    </xf>
    <xf numFmtId="170" fontId="1" fillId="16" borderId="0" xfId="11" applyNumberFormat="1" applyFill="1" applyAlignment="1">
      <alignment horizontal="center"/>
    </xf>
    <xf numFmtId="2" fontId="1" fillId="16" borderId="10" xfId="11" applyNumberFormat="1" applyFill="1" applyBorder="1" applyAlignment="1">
      <alignment horizontal="center"/>
    </xf>
    <xf numFmtId="178" fontId="1" fillId="25" borderId="10" xfId="11" applyNumberFormat="1" applyFill="1" applyBorder="1" applyAlignment="1">
      <alignment horizontal="center"/>
    </xf>
    <xf numFmtId="179" fontId="1" fillId="16" borderId="10" xfId="11" applyNumberFormat="1" applyFill="1" applyBorder="1" applyAlignment="1">
      <alignment horizontal="center"/>
    </xf>
    <xf numFmtId="176" fontId="48" fillId="16" borderId="0" xfId="11" applyNumberFormat="1" applyFont="1" applyFill="1" applyAlignment="1">
      <alignment horizontal="center"/>
    </xf>
    <xf numFmtId="0" fontId="47" fillId="16" borderId="18" xfId="11" applyFont="1" applyFill="1" applyBorder="1" applyAlignment="1">
      <alignment horizontal="center"/>
    </xf>
    <xf numFmtId="2" fontId="59" fillId="16" borderId="21" xfId="11" applyNumberFormat="1" applyFont="1" applyFill="1" applyBorder="1" applyAlignment="1">
      <alignment horizontal="center"/>
    </xf>
    <xf numFmtId="2" fontId="59" fillId="16" borderId="20" xfId="11" applyNumberFormat="1" applyFont="1" applyFill="1" applyBorder="1" applyAlignment="1">
      <alignment horizontal="center"/>
    </xf>
    <xf numFmtId="2" fontId="59" fillId="16" borderId="0" xfId="11" applyNumberFormat="1" applyFont="1" applyFill="1" applyAlignment="1">
      <alignment horizontal="center"/>
    </xf>
    <xf numFmtId="0" fontId="1" fillId="16" borderId="16" xfId="11" applyFill="1" applyBorder="1" applyAlignment="1">
      <alignment horizontal="center"/>
    </xf>
    <xf numFmtId="2" fontId="1" fillId="16" borderId="16" xfId="11" applyNumberFormat="1" applyFill="1" applyBorder="1" applyAlignment="1">
      <alignment horizontal="center"/>
    </xf>
    <xf numFmtId="2" fontId="1" fillId="16" borderId="19" xfId="11" applyNumberFormat="1" applyFill="1" applyBorder="1" applyAlignment="1">
      <alignment horizontal="center"/>
    </xf>
    <xf numFmtId="2" fontId="1" fillId="16" borderId="17" xfId="11" applyNumberFormat="1" applyFill="1" applyBorder="1" applyAlignment="1">
      <alignment horizontal="center"/>
    </xf>
    <xf numFmtId="0" fontId="1" fillId="16" borderId="18" xfId="11" applyFill="1" applyBorder="1" applyAlignment="1">
      <alignment horizontal="center"/>
    </xf>
    <xf numFmtId="2" fontId="48" fillId="16" borderId="18" xfId="11" quotePrefix="1" applyNumberFormat="1" applyFont="1" applyFill="1" applyBorder="1" applyAlignment="1">
      <alignment horizontal="center"/>
    </xf>
    <xf numFmtId="2" fontId="59" fillId="16" borderId="18" xfId="11" quotePrefix="1" applyNumberFormat="1" applyFont="1" applyFill="1" applyBorder="1" applyAlignment="1">
      <alignment horizontal="center"/>
    </xf>
    <xf numFmtId="0" fontId="48" fillId="16" borderId="0" xfId="11" applyFont="1" applyFill="1" applyAlignment="1">
      <alignment vertical="top"/>
    </xf>
    <xf numFmtId="177" fontId="1" fillId="16" borderId="0" xfId="11" applyNumberFormat="1" applyFill="1"/>
    <xf numFmtId="176" fontId="48" fillId="16" borderId="18" xfId="11" applyNumberFormat="1" applyFont="1" applyFill="1" applyBorder="1" applyAlignment="1">
      <alignment horizontal="center"/>
    </xf>
    <xf numFmtId="0" fontId="33" fillId="3" borderId="16" xfId="0" applyFont="1" applyFill="1" applyBorder="1" applyAlignment="1">
      <alignment vertical="center"/>
    </xf>
    <xf numFmtId="0" fontId="15" fillId="0" borderId="0" xfId="0" applyFont="1" applyAlignment="1">
      <alignment horizontal="center" vertical="center"/>
    </xf>
    <xf numFmtId="0" fontId="14" fillId="0" borderId="0" xfId="0" applyFont="1" applyAlignment="1">
      <alignment vertical="center"/>
    </xf>
    <xf numFmtId="3" fontId="15" fillId="0" borderId="0" xfId="0" applyNumberFormat="1" applyFont="1" applyAlignment="1">
      <alignment horizontal="center" vertical="center"/>
    </xf>
    <xf numFmtId="180" fontId="15" fillId="0" borderId="0" xfId="0" applyNumberFormat="1" applyFont="1" applyAlignment="1">
      <alignment horizontal="center" vertical="center"/>
    </xf>
    <xf numFmtId="0" fontId="38" fillId="5" borderId="3" xfId="0" applyFont="1" applyFill="1" applyBorder="1" applyAlignment="1">
      <alignment horizontal="center" wrapText="1"/>
    </xf>
    <xf numFmtId="43" fontId="60" fillId="0" borderId="3" xfId="4" applyFont="1" applyFill="1" applyBorder="1" applyAlignment="1" applyProtection="1">
      <alignment horizontal="center" vertical="center" wrapText="1"/>
    </xf>
    <xf numFmtId="170" fontId="41" fillId="0" borderId="3" xfId="3" applyNumberFormat="1" applyFont="1" applyFill="1" applyBorder="1" applyAlignment="1" applyProtection="1">
      <alignment horizontal="center" vertical="center" wrapText="1"/>
    </xf>
    <xf numFmtId="2" fontId="41" fillId="0" borderId="3" xfId="3" applyNumberFormat="1" applyFont="1" applyFill="1" applyBorder="1" applyAlignment="1" applyProtection="1">
      <alignment horizontal="center" vertical="center" wrapText="1"/>
    </xf>
    <xf numFmtId="0" fontId="28" fillId="0" borderId="0" xfId="0" applyFont="1" applyAlignment="1">
      <alignment vertical="center"/>
    </xf>
    <xf numFmtId="0" fontId="61" fillId="0" borderId="0" xfId="0" applyFont="1" applyAlignment="1">
      <alignment vertical="center" wrapText="1"/>
    </xf>
    <xf numFmtId="0" fontId="60" fillId="5" borderId="3" xfId="0" applyFont="1" applyFill="1" applyBorder="1" applyAlignment="1">
      <alignment horizontal="center" wrapText="1"/>
    </xf>
    <xf numFmtId="0" fontId="0" fillId="26" borderId="0" xfId="0" applyFill="1" applyAlignment="1">
      <alignment horizontal="center"/>
    </xf>
    <xf numFmtId="165" fontId="2" fillId="26" borderId="0" xfId="0" quotePrefix="1" applyNumberFormat="1" applyFont="1" applyFill="1" applyAlignment="1">
      <alignment vertical="center"/>
    </xf>
    <xf numFmtId="165" fontId="2" fillId="26" borderId="0" xfId="0" applyNumberFormat="1" applyFont="1" applyFill="1" applyAlignment="1">
      <alignment vertical="center"/>
    </xf>
    <xf numFmtId="0" fontId="0" fillId="26" borderId="0" xfId="0" applyFill="1"/>
    <xf numFmtId="0" fontId="2" fillId="26" borderId="0" xfId="0" applyFont="1" applyFill="1"/>
    <xf numFmtId="0" fontId="2" fillId="26" borderId="3" xfId="0" applyFont="1" applyFill="1" applyBorder="1" applyAlignment="1">
      <alignment horizontal="center" vertical="center"/>
    </xf>
    <xf numFmtId="14" fontId="15" fillId="0" borderId="0" xfId="0" applyNumberFormat="1" applyFont="1" applyAlignment="1">
      <alignment horizontal="right"/>
    </xf>
    <xf numFmtId="0" fontId="62" fillId="0" borderId="0" xfId="0" applyFont="1"/>
    <xf numFmtId="0" fontId="15" fillId="0" borderId="0" xfId="0" applyFont="1" applyAlignment="1">
      <alignment horizontal="left" vertical="center"/>
    </xf>
    <xf numFmtId="0" fontId="15" fillId="0" borderId="0" xfId="0" applyFont="1" applyAlignment="1">
      <alignment horizontal="center" vertical="top"/>
    </xf>
    <xf numFmtId="22" fontId="0" fillId="0" borderId="0" xfId="0" applyNumberFormat="1" applyAlignment="1">
      <alignment vertical="center"/>
    </xf>
    <xf numFmtId="4" fontId="0" fillId="0" borderId="0" xfId="0" applyNumberFormat="1" applyAlignment="1">
      <alignment vertical="center"/>
    </xf>
    <xf numFmtId="164" fontId="12" fillId="16" borderId="3" xfId="0" applyNumberFormat="1" applyFont="1" applyFill="1" applyBorder="1" applyAlignment="1" applyProtection="1">
      <alignment horizontal="center" vertical="center"/>
      <protection locked="0"/>
    </xf>
    <xf numFmtId="0" fontId="12" fillId="16" borderId="15" xfId="0" applyFont="1" applyFill="1" applyBorder="1" applyAlignment="1" applyProtection="1">
      <alignment horizontal="center" vertical="center"/>
      <protection locked="0"/>
    </xf>
    <xf numFmtId="4" fontId="12" fillId="16" borderId="3" xfId="0" applyNumberFormat="1" applyFont="1" applyFill="1" applyBorder="1" applyAlignment="1">
      <alignment horizontal="center" vertical="center"/>
    </xf>
    <xf numFmtId="0" fontId="12" fillId="16" borderId="3" xfId="0" applyFont="1" applyFill="1" applyBorder="1" applyAlignment="1">
      <alignment horizontal="center" vertical="center"/>
    </xf>
    <xf numFmtId="0" fontId="33" fillId="16" borderId="16" xfId="0" applyFont="1" applyFill="1" applyBorder="1" applyAlignment="1">
      <alignment vertical="center"/>
    </xf>
    <xf numFmtId="14" fontId="33" fillId="16" borderId="16" xfId="0" applyNumberFormat="1" applyFont="1" applyFill="1" applyBorder="1" applyAlignment="1">
      <alignment vertical="center"/>
    </xf>
    <xf numFmtId="2" fontId="60" fillId="0" borderId="3" xfId="3" applyNumberFormat="1" applyFont="1" applyFill="1" applyBorder="1" applyAlignment="1" applyProtection="1">
      <alignment horizontal="center" wrapText="1"/>
    </xf>
    <xf numFmtId="0" fontId="45" fillId="3" borderId="11" xfId="0" applyFont="1" applyFill="1" applyBorder="1" applyAlignment="1">
      <alignment horizontal="center" vertical="center" wrapText="1"/>
    </xf>
    <xf numFmtId="0" fontId="45" fillId="3" borderId="10" xfId="0" applyFont="1" applyFill="1" applyBorder="1" applyAlignment="1">
      <alignment horizontal="center" vertical="center" wrapText="1"/>
    </xf>
    <xf numFmtId="0" fontId="45" fillId="3" borderId="17" xfId="0" applyFont="1" applyFill="1" applyBorder="1" applyAlignment="1">
      <alignment horizontal="center" vertical="center" wrapText="1"/>
    </xf>
    <xf numFmtId="0" fontId="45" fillId="3" borderId="18" xfId="0" applyFont="1" applyFill="1" applyBorder="1" applyAlignment="1">
      <alignment horizontal="center" vertical="center" wrapText="1"/>
    </xf>
    <xf numFmtId="0" fontId="45" fillId="16" borderId="10" xfId="0" applyFont="1" applyFill="1" applyBorder="1" applyAlignment="1">
      <alignment horizontal="left" vertical="center" wrapText="1"/>
    </xf>
    <xf numFmtId="0" fontId="45" fillId="16" borderId="9" xfId="0" applyFont="1" applyFill="1" applyBorder="1" applyAlignment="1">
      <alignment horizontal="left" vertical="center" wrapText="1"/>
    </xf>
    <xf numFmtId="0" fontId="45" fillId="16" borderId="18" xfId="0" applyFont="1" applyFill="1" applyBorder="1" applyAlignment="1">
      <alignment horizontal="left" vertical="center" wrapText="1"/>
    </xf>
    <xf numFmtId="0" fontId="45" fillId="16" borderId="19" xfId="0" applyFont="1" applyFill="1" applyBorder="1" applyAlignment="1">
      <alignment horizontal="left" vertical="center" wrapText="1"/>
    </xf>
    <xf numFmtId="0" fontId="30" fillId="12" borderId="14" xfId="0" applyFont="1" applyFill="1" applyBorder="1" applyAlignment="1">
      <alignment horizontal="center" vertical="center"/>
    </xf>
    <xf numFmtId="0" fontId="30" fillId="12" borderId="16" xfId="0" applyFont="1" applyFill="1" applyBorder="1" applyAlignment="1">
      <alignment horizontal="center" vertical="center"/>
    </xf>
    <xf numFmtId="0" fontId="30" fillId="14" borderId="11" xfId="0" applyFont="1" applyFill="1" applyBorder="1" applyAlignment="1">
      <alignment horizontal="center" vertical="center"/>
    </xf>
    <xf numFmtId="0" fontId="30" fillId="14" borderId="10" xfId="0" applyFont="1" applyFill="1" applyBorder="1" applyAlignment="1">
      <alignment horizontal="center" vertical="center"/>
    </xf>
    <xf numFmtId="0" fontId="30" fillId="14" borderId="9" xfId="0" applyFont="1" applyFill="1" applyBorder="1" applyAlignment="1">
      <alignment horizontal="center" vertical="center"/>
    </xf>
    <xf numFmtId="0" fontId="30" fillId="14" borderId="17" xfId="0" applyFont="1" applyFill="1" applyBorder="1" applyAlignment="1">
      <alignment horizontal="center" vertical="center"/>
    </xf>
    <xf numFmtId="0" fontId="30" fillId="14" borderId="18" xfId="0" applyFont="1" applyFill="1" applyBorder="1" applyAlignment="1">
      <alignment horizontal="center" vertical="center"/>
    </xf>
    <xf numFmtId="0" fontId="30" fillId="14" borderId="19" xfId="0" applyFont="1" applyFill="1" applyBorder="1" applyAlignment="1">
      <alignment horizontal="center" vertical="center"/>
    </xf>
    <xf numFmtId="0" fontId="15" fillId="0" borderId="3" xfId="0" applyFont="1" applyBorder="1" applyAlignment="1">
      <alignment horizontal="center" vertical="center"/>
    </xf>
    <xf numFmtId="22" fontId="13" fillId="0" borderId="14" xfId="0" applyNumberFormat="1" applyFont="1" applyBorder="1" applyAlignment="1" applyProtection="1">
      <alignment horizontal="center" vertical="center"/>
      <protection locked="0"/>
    </xf>
    <xf numFmtId="0" fontId="13" fillId="0" borderId="15" xfId="0" applyFont="1" applyBorder="1" applyAlignment="1" applyProtection="1">
      <alignment horizontal="center" vertical="center"/>
      <protection locked="0"/>
    </xf>
    <xf numFmtId="164" fontId="13" fillId="0" borderId="14" xfId="0" applyNumberFormat="1" applyFont="1" applyBorder="1" applyAlignment="1" applyProtection="1">
      <alignment horizontal="center" vertical="center"/>
      <protection locked="0"/>
    </xf>
    <xf numFmtId="164" fontId="13" fillId="0" borderId="15" xfId="0" applyNumberFormat="1" applyFont="1" applyBorder="1" applyAlignment="1" applyProtection="1">
      <alignment horizontal="center" vertical="center"/>
      <protection locked="0"/>
    </xf>
    <xf numFmtId="0" fontId="15" fillId="0" borderId="20" xfId="0" applyFont="1" applyBorder="1" applyAlignment="1">
      <alignment horizontal="center" vertical="center"/>
    </xf>
    <xf numFmtId="0" fontId="15" fillId="0" borderId="0" xfId="0" applyFont="1" applyAlignment="1">
      <alignment horizontal="center" vertical="center"/>
    </xf>
    <xf numFmtId="0" fontId="15" fillId="0" borderId="5" xfId="0" applyFont="1" applyBorder="1" applyAlignment="1">
      <alignment horizontal="center" vertical="center"/>
    </xf>
    <xf numFmtId="0" fontId="30" fillId="11" borderId="11" xfId="0" applyFont="1" applyFill="1" applyBorder="1" applyAlignment="1">
      <alignment horizontal="center" vertical="center"/>
    </xf>
    <xf numFmtId="0" fontId="30" fillId="11" borderId="9" xfId="0" applyFont="1" applyFill="1" applyBorder="1" applyAlignment="1">
      <alignment horizontal="center" vertical="center"/>
    </xf>
    <xf numFmtId="0" fontId="30" fillId="11" borderId="17" xfId="0" applyFont="1" applyFill="1" applyBorder="1" applyAlignment="1">
      <alignment horizontal="center" vertical="center"/>
    </xf>
    <xf numFmtId="0" fontId="30" fillId="11" borderId="19" xfId="0" applyFont="1" applyFill="1" applyBorder="1" applyAlignment="1">
      <alignment horizontal="center" vertical="center"/>
    </xf>
    <xf numFmtId="0" fontId="30" fillId="11" borderId="4" xfId="0" applyFont="1" applyFill="1" applyBorder="1" applyAlignment="1">
      <alignment horizontal="center" vertical="center"/>
    </xf>
    <xf numFmtId="0" fontId="30" fillId="11" borderId="5" xfId="0" applyFont="1" applyFill="1" applyBorder="1" applyAlignment="1">
      <alignment horizontal="center" vertical="center"/>
    </xf>
    <xf numFmtId="0" fontId="30" fillId="11" borderId="11" xfId="0" applyFont="1" applyFill="1" applyBorder="1" applyAlignment="1">
      <alignment horizontal="center" vertical="center" wrapText="1"/>
    </xf>
    <xf numFmtId="0" fontId="30" fillId="11" borderId="10" xfId="0" applyFont="1" applyFill="1" applyBorder="1" applyAlignment="1">
      <alignment horizontal="center" vertical="center" wrapText="1"/>
    </xf>
    <xf numFmtId="0" fontId="30" fillId="11" borderId="9" xfId="0" applyFont="1" applyFill="1" applyBorder="1" applyAlignment="1">
      <alignment horizontal="center" vertical="center" wrapText="1"/>
    </xf>
    <xf numFmtId="0" fontId="30" fillId="11" borderId="17" xfId="0" applyFont="1" applyFill="1" applyBorder="1" applyAlignment="1">
      <alignment horizontal="center" vertical="center" wrapText="1"/>
    </xf>
    <xf numFmtId="0" fontId="30" fillId="11" borderId="18" xfId="0" applyFont="1" applyFill="1" applyBorder="1" applyAlignment="1">
      <alignment horizontal="center" vertical="center" wrapText="1"/>
    </xf>
    <xf numFmtId="0" fontId="30" fillId="11" borderId="19" xfId="0" applyFont="1" applyFill="1" applyBorder="1" applyAlignment="1">
      <alignment horizontal="center" vertical="center" wrapText="1"/>
    </xf>
    <xf numFmtId="0" fontId="16" fillId="0" borderId="3" xfId="0" applyFont="1" applyBorder="1" applyAlignment="1" applyProtection="1">
      <alignment horizontal="center" vertical="center"/>
      <protection locked="0"/>
    </xf>
    <xf numFmtId="0" fontId="16" fillId="0" borderId="3" xfId="0" applyFont="1" applyBorder="1" applyAlignment="1" applyProtection="1">
      <alignment horizontal="center" vertical="center" wrapText="1"/>
      <protection locked="0"/>
    </xf>
    <xf numFmtId="0" fontId="16" fillId="0" borderId="11" xfId="0" applyFont="1" applyBorder="1" applyAlignment="1" applyProtection="1">
      <alignment horizontal="center" vertical="center"/>
      <protection locked="0"/>
    </xf>
    <xf numFmtId="0" fontId="16" fillId="0" borderId="10" xfId="0" applyFont="1" applyBorder="1" applyAlignment="1" applyProtection="1">
      <alignment horizontal="center" vertical="center"/>
      <protection locked="0"/>
    </xf>
    <xf numFmtId="0" fontId="16" fillId="0" borderId="20" xfId="0" applyFont="1" applyBorder="1" applyAlignment="1" applyProtection="1">
      <alignment horizontal="center" vertical="center"/>
      <protection locked="0"/>
    </xf>
    <xf numFmtId="0" fontId="16" fillId="0" borderId="0" xfId="0" applyFont="1" applyAlignment="1" applyProtection="1">
      <alignment horizontal="center" vertical="center"/>
      <protection locked="0"/>
    </xf>
    <xf numFmtId="0" fontId="16" fillId="0" borderId="17"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0" fontId="0" fillId="0" borderId="0" xfId="0"/>
    <xf numFmtId="0" fontId="15" fillId="0" borderId="14" xfId="0" applyFont="1" applyBorder="1" applyAlignment="1">
      <alignment horizontal="center" vertical="center"/>
    </xf>
    <xf numFmtId="0" fontId="15" fillId="0" borderId="16" xfId="0" applyFont="1" applyBorder="1" applyAlignment="1">
      <alignment horizontal="center" vertical="center"/>
    </xf>
    <xf numFmtId="0" fontId="15" fillId="0" borderId="15" xfId="0" applyFont="1" applyBorder="1" applyAlignment="1">
      <alignment horizontal="center" vertical="center"/>
    </xf>
    <xf numFmtId="0" fontId="0" fillId="0" borderId="11"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11" fillId="7" borderId="3" xfId="0" applyFont="1" applyFill="1" applyBorder="1" applyAlignment="1">
      <alignment horizontal="center" vertical="center"/>
    </xf>
    <xf numFmtId="0" fontId="8" fillId="8" borderId="3"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16" xfId="0" applyFont="1" applyFill="1" applyBorder="1" applyAlignment="1">
      <alignment horizontal="center" vertical="center"/>
    </xf>
    <xf numFmtId="0" fontId="31" fillId="7" borderId="3" xfId="0" applyFont="1" applyFill="1" applyBorder="1" applyAlignment="1">
      <alignment horizontal="center" vertical="center"/>
    </xf>
    <xf numFmtId="0" fontId="31" fillId="7" borderId="14" xfId="0" applyFont="1" applyFill="1" applyBorder="1" applyAlignment="1">
      <alignment horizontal="center" vertical="center"/>
    </xf>
    <xf numFmtId="22" fontId="13" fillId="18" borderId="14" xfId="0" applyNumberFormat="1" applyFont="1" applyFill="1" applyBorder="1" applyAlignment="1" applyProtection="1">
      <alignment horizontal="center" vertical="center"/>
      <protection locked="0"/>
    </xf>
    <xf numFmtId="22" fontId="13" fillId="18" borderId="15" xfId="0" applyNumberFormat="1" applyFont="1" applyFill="1" applyBorder="1" applyAlignment="1" applyProtection="1">
      <alignment horizontal="center" vertical="center"/>
      <protection locked="0"/>
    </xf>
    <xf numFmtId="0" fontId="19" fillId="3" borderId="17" xfId="0" applyFont="1" applyFill="1" applyBorder="1" applyAlignment="1">
      <alignment vertical="center"/>
    </xf>
    <xf numFmtId="0" fontId="19" fillId="3" borderId="18" xfId="0" applyFont="1" applyFill="1" applyBorder="1" applyAlignment="1">
      <alignment vertical="center"/>
    </xf>
    <xf numFmtId="0" fontId="19" fillId="3" borderId="19" xfId="0" applyFont="1" applyFill="1" applyBorder="1" applyAlignment="1">
      <alignment vertical="center"/>
    </xf>
    <xf numFmtId="164" fontId="22" fillId="15" borderId="3" xfId="0" applyNumberFormat="1" applyFont="1" applyFill="1" applyBorder="1" applyAlignment="1">
      <alignment horizontal="center" vertical="center"/>
    </xf>
    <xf numFmtId="0" fontId="30" fillId="4" borderId="3" xfId="0" applyFont="1" applyFill="1" applyBorder="1" applyAlignment="1">
      <alignment horizontal="center" vertical="center"/>
    </xf>
    <xf numFmtId="0" fontId="10" fillId="7" borderId="3" xfId="0" applyFont="1" applyFill="1" applyBorder="1" applyAlignment="1">
      <alignment horizontal="center" vertical="center"/>
    </xf>
    <xf numFmtId="0" fontId="30" fillId="13" borderId="3" xfId="0" applyFont="1" applyFill="1" applyBorder="1" applyAlignment="1">
      <alignment horizontal="center" vertical="center"/>
    </xf>
    <xf numFmtId="0" fontId="30" fillId="9" borderId="3" xfId="0" applyFont="1" applyFill="1" applyBorder="1" applyAlignment="1">
      <alignment horizontal="center" vertical="center"/>
    </xf>
    <xf numFmtId="0" fontId="30" fillId="6" borderId="3" xfId="0" applyFont="1" applyFill="1" applyBorder="1" applyAlignment="1">
      <alignment horizontal="center" vertical="center"/>
    </xf>
    <xf numFmtId="0" fontId="30" fillId="13" borderId="14" xfId="0" applyFont="1" applyFill="1" applyBorder="1" applyAlignment="1">
      <alignment horizontal="center" vertical="center"/>
    </xf>
    <xf numFmtId="0" fontId="30" fillId="13" borderId="16" xfId="0" applyFont="1" applyFill="1" applyBorder="1" applyAlignment="1">
      <alignment horizontal="center" vertical="center"/>
    </xf>
    <xf numFmtId="0" fontId="30" fillId="13" borderId="15" xfId="0" applyFont="1" applyFill="1" applyBorder="1" applyAlignment="1">
      <alignment horizontal="center" vertical="center"/>
    </xf>
    <xf numFmtId="0" fontId="30" fillId="10" borderId="14" xfId="0" applyFont="1" applyFill="1" applyBorder="1" applyAlignment="1">
      <alignment horizontal="center" vertical="center"/>
    </xf>
    <xf numFmtId="0" fontId="30" fillId="10" borderId="16" xfId="0" applyFont="1" applyFill="1" applyBorder="1" applyAlignment="1">
      <alignment horizontal="center" vertical="center"/>
    </xf>
    <xf numFmtId="0" fontId="11" fillId="7" borderId="14" xfId="0" applyFont="1" applyFill="1" applyBorder="1" applyAlignment="1">
      <alignment horizontal="center" vertical="center"/>
    </xf>
    <xf numFmtId="0" fontId="11" fillId="7" borderId="16" xfId="0" applyFont="1" applyFill="1" applyBorder="1" applyAlignment="1">
      <alignment horizontal="center" vertical="center"/>
    </xf>
    <xf numFmtId="0" fontId="11" fillId="7" borderId="15" xfId="0" applyFont="1" applyFill="1" applyBorder="1" applyAlignment="1">
      <alignment horizontal="center" vertical="center"/>
    </xf>
    <xf numFmtId="0" fontId="30" fillId="5" borderId="14" xfId="0" applyFont="1" applyFill="1" applyBorder="1" applyAlignment="1">
      <alignment horizontal="center" vertical="center"/>
    </xf>
    <xf numFmtId="0" fontId="30" fillId="5" borderId="15" xfId="0" applyFont="1" applyFill="1" applyBorder="1" applyAlignment="1">
      <alignment horizontal="center" vertical="center"/>
    </xf>
    <xf numFmtId="0" fontId="23" fillId="0" borderId="0" xfId="0" applyFont="1" applyAlignment="1">
      <alignment horizontal="right" vertical="center"/>
    </xf>
    <xf numFmtId="0" fontId="32" fillId="7" borderId="3" xfId="0" applyFont="1" applyFill="1" applyBorder="1" applyAlignment="1">
      <alignment horizontal="center" vertical="center"/>
    </xf>
    <xf numFmtId="0" fontId="15" fillId="0" borderId="0" xfId="0" applyFont="1" applyAlignment="1">
      <alignment horizontal="right" vertical="center" wrapText="1"/>
    </xf>
    <xf numFmtId="0" fontId="9" fillId="3" borderId="17" xfId="0" applyFont="1" applyFill="1" applyBorder="1" applyAlignment="1">
      <alignment vertical="center"/>
    </xf>
    <xf numFmtId="0" fontId="9" fillId="3" borderId="18" xfId="0" applyFont="1" applyFill="1" applyBorder="1" applyAlignment="1">
      <alignment vertical="center"/>
    </xf>
    <xf numFmtId="0" fontId="9" fillId="3" borderId="19" xfId="0" applyFont="1" applyFill="1" applyBorder="1" applyAlignment="1">
      <alignment vertical="center"/>
    </xf>
    <xf numFmtId="0" fontId="32" fillId="7" borderId="11" xfId="0" applyFont="1" applyFill="1" applyBorder="1" applyAlignment="1">
      <alignment horizontal="center" vertical="center"/>
    </xf>
    <xf numFmtId="0" fontId="32" fillId="7" borderId="9" xfId="0" applyFont="1" applyFill="1" applyBorder="1" applyAlignment="1">
      <alignment horizontal="center" vertical="center"/>
    </xf>
    <xf numFmtId="0" fontId="32" fillId="7" borderId="17" xfId="0" applyFont="1" applyFill="1" applyBorder="1" applyAlignment="1">
      <alignment horizontal="center" vertical="center"/>
    </xf>
    <xf numFmtId="0" fontId="32" fillId="7" borderId="19" xfId="0" applyFont="1" applyFill="1" applyBorder="1" applyAlignment="1">
      <alignment horizontal="center" vertical="center"/>
    </xf>
    <xf numFmtId="0" fontId="9" fillId="3" borderId="20" xfId="0" applyFont="1" applyFill="1" applyBorder="1" applyAlignment="1">
      <alignment vertical="center"/>
    </xf>
    <xf numFmtId="0" fontId="9" fillId="3" borderId="0" xfId="0" applyFont="1" applyFill="1" applyAlignment="1">
      <alignment vertical="center"/>
    </xf>
    <xf numFmtId="0" fontId="9" fillId="3" borderId="21" xfId="0" applyFont="1" applyFill="1" applyBorder="1" applyAlignment="1">
      <alignment vertical="center"/>
    </xf>
    <xf numFmtId="0" fontId="0" fillId="5" borderId="3" xfId="0" applyFill="1" applyBorder="1" applyAlignment="1">
      <alignment horizontal="center"/>
    </xf>
    <xf numFmtId="0" fontId="40" fillId="12" borderId="3" xfId="0" applyFont="1" applyFill="1" applyBorder="1" applyAlignment="1">
      <alignment horizontal="center" wrapText="1"/>
    </xf>
    <xf numFmtId="0" fontId="9" fillId="3" borderId="11" xfId="0" applyFont="1" applyFill="1" applyBorder="1" applyAlignment="1">
      <alignment vertical="center"/>
    </xf>
    <xf numFmtId="0" fontId="9" fillId="3" borderId="10" xfId="0" applyFont="1" applyFill="1" applyBorder="1" applyAlignment="1">
      <alignment vertical="center"/>
    </xf>
    <xf numFmtId="0" fontId="9" fillId="3" borderId="9" xfId="0" applyFont="1" applyFill="1" applyBorder="1" applyAlignment="1">
      <alignment vertical="center"/>
    </xf>
    <xf numFmtId="0" fontId="20" fillId="3" borderId="3" xfId="0" applyFont="1" applyFill="1" applyBorder="1" applyAlignment="1">
      <alignment horizontal="center" vertical="center"/>
    </xf>
    <xf numFmtId="1" fontId="24" fillId="0" borderId="14" xfId="0" applyNumberFormat="1" applyFont="1" applyBorder="1" applyAlignment="1" applyProtection="1">
      <alignment horizontal="center" vertical="center"/>
      <protection locked="0"/>
    </xf>
    <xf numFmtId="1" fontId="24" fillId="0" borderId="15" xfId="0" applyNumberFormat="1" applyFont="1" applyBorder="1" applyAlignment="1" applyProtection="1">
      <alignment horizontal="center" vertical="center"/>
      <protection locked="0"/>
    </xf>
    <xf numFmtId="0" fontId="33" fillId="0" borderId="3" xfId="0" applyFont="1" applyBorder="1" applyAlignment="1">
      <alignment horizontal="right" vertical="center"/>
    </xf>
    <xf numFmtId="0" fontId="15" fillId="0" borderId="3" xfId="0" applyFont="1" applyBorder="1" applyAlignment="1">
      <alignment horizontal="right" vertical="center"/>
    </xf>
    <xf numFmtId="0" fontId="30" fillId="5" borderId="3" xfId="0" applyFont="1" applyFill="1" applyBorder="1" applyAlignment="1">
      <alignment horizontal="center" vertical="center"/>
    </xf>
    <xf numFmtId="0" fontId="15" fillId="0" borderId="21" xfId="0" applyFont="1" applyBorder="1" applyAlignment="1">
      <alignment horizontal="center" vertical="center"/>
    </xf>
    <xf numFmtId="0" fontId="2" fillId="5" borderId="14" xfId="0" applyFont="1" applyFill="1" applyBorder="1" applyAlignment="1" applyProtection="1">
      <alignment horizontal="center" vertical="center"/>
      <protection locked="0"/>
    </xf>
    <xf numFmtId="0" fontId="2" fillId="5" borderId="15" xfId="0" applyFont="1" applyFill="1" applyBorder="1" applyAlignment="1" applyProtection="1">
      <alignment horizontal="center" vertical="center"/>
      <protection locked="0"/>
    </xf>
    <xf numFmtId="0" fontId="2" fillId="5" borderId="14" xfId="0" applyFont="1" applyFill="1" applyBorder="1" applyAlignment="1">
      <alignment horizontal="center" vertical="center"/>
    </xf>
    <xf numFmtId="0" fontId="2" fillId="5" borderId="15" xfId="0" applyFont="1" applyFill="1" applyBorder="1" applyAlignment="1">
      <alignment horizontal="center" vertical="center"/>
    </xf>
    <xf numFmtId="0" fontId="33" fillId="0" borderId="14" xfId="0" applyFont="1" applyBorder="1" applyAlignment="1">
      <alignment horizontal="right" vertical="center"/>
    </xf>
    <xf numFmtId="0" fontId="33" fillId="0" borderId="15" xfId="0" applyFont="1" applyBorder="1" applyAlignment="1">
      <alignment horizontal="right" vertical="center"/>
    </xf>
    <xf numFmtId="0" fontId="35" fillId="3" borderId="3" xfId="0" applyFont="1" applyFill="1" applyBorder="1" applyAlignment="1" applyProtection="1">
      <alignment horizontal="center" vertical="center"/>
      <protection locked="0"/>
    </xf>
    <xf numFmtId="168" fontId="24" fillId="0" borderId="14" xfId="0" applyNumberFormat="1" applyFont="1" applyBorder="1" applyAlignment="1" applyProtection="1">
      <alignment horizontal="center" vertical="center"/>
      <protection locked="0"/>
    </xf>
    <xf numFmtId="168" fontId="24" fillId="0" borderId="16" xfId="0" applyNumberFormat="1" applyFont="1" applyBorder="1" applyAlignment="1" applyProtection="1">
      <alignment horizontal="center" vertical="center"/>
      <protection locked="0"/>
    </xf>
    <xf numFmtId="168" fontId="24" fillId="0" borderId="15" xfId="0" applyNumberFormat="1" applyFont="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15" fillId="5" borderId="14" xfId="0" applyFont="1" applyFill="1" applyBorder="1" applyAlignment="1">
      <alignment horizontal="right" vertical="center"/>
    </xf>
    <xf numFmtId="0" fontId="15" fillId="5" borderId="16" xfId="0" applyFont="1" applyFill="1" applyBorder="1" applyAlignment="1">
      <alignment horizontal="right" vertical="center"/>
    </xf>
    <xf numFmtId="0" fontId="15" fillId="5" borderId="15" xfId="0" applyFont="1" applyFill="1" applyBorder="1" applyAlignment="1">
      <alignment horizontal="right" vertical="center"/>
    </xf>
    <xf numFmtId="0" fontId="15" fillId="5" borderId="14" xfId="0" applyFont="1" applyFill="1" applyBorder="1" applyAlignment="1">
      <alignment horizontal="right" vertical="center" wrapText="1"/>
    </xf>
    <xf numFmtId="0" fontId="15" fillId="5" borderId="16" xfId="0" applyFont="1" applyFill="1" applyBorder="1" applyAlignment="1">
      <alignment horizontal="right" vertical="center" wrapText="1"/>
    </xf>
    <xf numFmtId="0" fontId="15" fillId="5" borderId="15" xfId="0" applyFont="1" applyFill="1" applyBorder="1" applyAlignment="1">
      <alignment horizontal="right" vertical="center" wrapText="1"/>
    </xf>
    <xf numFmtId="0" fontId="21" fillId="7" borderId="14"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22" fontId="38" fillId="0" borderId="3" xfId="0" applyNumberFormat="1" applyFont="1" applyBorder="1" applyAlignment="1" applyProtection="1">
      <alignment horizontal="center" vertical="center"/>
      <protection locked="0"/>
    </xf>
    <xf numFmtId="166" fontId="35" fillId="0" borderId="3" xfId="0" applyNumberFormat="1" applyFont="1" applyBorder="1" applyAlignment="1" applyProtection="1">
      <alignment horizontal="center" vertical="center"/>
      <protection locked="0"/>
    </xf>
    <xf numFmtId="0" fontId="12" fillId="16" borderId="14" xfId="0" applyFont="1" applyFill="1" applyBorder="1" applyAlignment="1" applyProtection="1">
      <alignment horizontal="center" vertical="center"/>
      <protection locked="0"/>
    </xf>
    <xf numFmtId="0" fontId="12" fillId="16" borderId="15" xfId="0" applyFont="1" applyFill="1" applyBorder="1" applyAlignment="1" applyProtection="1">
      <alignment horizontal="center" vertical="center"/>
      <protection locked="0"/>
    </xf>
    <xf numFmtId="14" fontId="12" fillId="16" borderId="14" xfId="0" applyNumberFormat="1" applyFont="1" applyFill="1" applyBorder="1" applyAlignment="1" applyProtection="1">
      <alignment horizontal="center" vertical="center"/>
      <protection locked="0"/>
    </xf>
    <xf numFmtId="0" fontId="15" fillId="3" borderId="14" xfId="0" applyFont="1" applyFill="1" applyBorder="1" applyAlignment="1">
      <alignment horizontal="right" vertical="center"/>
    </xf>
    <xf numFmtId="0" fontId="15" fillId="3" borderId="16" xfId="0" applyFont="1" applyFill="1" applyBorder="1" applyAlignment="1">
      <alignment horizontal="right" vertical="center"/>
    </xf>
    <xf numFmtId="0" fontId="15" fillId="3" borderId="15" xfId="0" applyFont="1" applyFill="1" applyBorder="1" applyAlignment="1">
      <alignment horizontal="right" vertical="center"/>
    </xf>
    <xf numFmtId="0" fontId="15" fillId="0" borderId="14" xfId="0" applyFont="1" applyBorder="1" applyAlignment="1">
      <alignment horizontal="right" vertical="center"/>
    </xf>
    <xf numFmtId="0" fontId="15" fillId="0" borderId="16" xfId="0" applyFont="1" applyBorder="1" applyAlignment="1">
      <alignment horizontal="right" vertical="center"/>
    </xf>
    <xf numFmtId="0" fontId="15" fillId="0" borderId="15" xfId="0" applyFont="1" applyBorder="1" applyAlignment="1">
      <alignment horizontal="right" vertical="center"/>
    </xf>
    <xf numFmtId="0" fontId="12" fillId="0" borderId="3" xfId="2" applyFont="1" applyBorder="1" applyAlignment="1" applyProtection="1">
      <alignment horizontal="center" vertical="center"/>
      <protection locked="0"/>
    </xf>
    <xf numFmtId="0" fontId="34" fillId="3" borderId="3" xfId="0" applyFont="1" applyFill="1" applyBorder="1" applyAlignment="1" applyProtection="1">
      <alignment horizontal="center" vertical="center" shrinkToFit="1"/>
      <protection locked="0"/>
    </xf>
    <xf numFmtId="0" fontId="24" fillId="0" borderId="14" xfId="0" applyFont="1" applyBorder="1" applyAlignment="1" applyProtection="1">
      <alignment horizontal="center" vertical="center"/>
      <protection locked="0"/>
    </xf>
    <xf numFmtId="0" fontId="24" fillId="0" borderId="16" xfId="0" applyFont="1" applyBorder="1" applyAlignment="1" applyProtection="1">
      <alignment horizontal="center" vertical="center"/>
      <protection locked="0"/>
    </xf>
    <xf numFmtId="0" fontId="24" fillId="0" borderId="15" xfId="0" applyFont="1" applyBorder="1" applyAlignment="1" applyProtection="1">
      <alignment horizontal="center" vertical="center"/>
      <protection locked="0"/>
    </xf>
    <xf numFmtId="0" fontId="24" fillId="3" borderId="14" xfId="0" applyFont="1" applyFill="1" applyBorder="1" applyAlignment="1" applyProtection="1">
      <alignment horizontal="center" vertical="center"/>
      <protection locked="0"/>
    </xf>
    <xf numFmtId="0" fontId="24" fillId="3" borderId="16" xfId="0" applyFont="1" applyFill="1" applyBorder="1" applyAlignment="1" applyProtection="1">
      <alignment horizontal="center" vertical="center"/>
      <protection locked="0"/>
    </xf>
    <xf numFmtId="0" fontId="24" fillId="3" borderId="15" xfId="0" applyFont="1" applyFill="1" applyBorder="1" applyAlignment="1" applyProtection="1">
      <alignment horizontal="center" vertical="center"/>
      <protection locked="0"/>
    </xf>
    <xf numFmtId="0" fontId="37" fillId="0" borderId="14" xfId="0" applyFont="1" applyBorder="1" applyAlignment="1" applyProtection="1">
      <alignment horizontal="center" vertical="center"/>
      <protection locked="0"/>
    </xf>
    <xf numFmtId="0" fontId="37" fillId="0" borderId="16" xfId="0" applyFont="1" applyBorder="1" applyAlignment="1" applyProtection="1">
      <alignment horizontal="center" vertical="center"/>
      <protection locked="0"/>
    </xf>
    <xf numFmtId="0" fontId="37" fillId="0" borderId="15" xfId="0" applyFont="1" applyBorder="1" applyAlignment="1" applyProtection="1">
      <alignment horizontal="center" vertical="center"/>
      <protection locked="0"/>
    </xf>
    <xf numFmtId="14" fontId="39" fillId="0" borderId="14" xfId="0" applyNumberFormat="1" applyFont="1" applyBorder="1" applyAlignment="1" applyProtection="1">
      <alignment horizontal="center" vertical="center"/>
      <protection locked="0"/>
    </xf>
    <xf numFmtId="14" fontId="39" fillId="0" borderId="16" xfId="0" applyNumberFormat="1" applyFont="1" applyBorder="1" applyAlignment="1" applyProtection="1">
      <alignment horizontal="center" vertical="center"/>
      <protection locked="0"/>
    </xf>
    <xf numFmtId="14" fontId="39" fillId="0" borderId="15" xfId="0" applyNumberFormat="1" applyFont="1" applyBorder="1" applyAlignment="1" applyProtection="1">
      <alignment horizontal="center" vertical="center"/>
      <protection locked="0"/>
    </xf>
    <xf numFmtId="0" fontId="0" fillId="5" borderId="14" xfId="0" applyFill="1" applyBorder="1" applyAlignment="1" applyProtection="1">
      <alignment horizontal="center" vertical="center"/>
      <protection locked="0"/>
    </xf>
    <xf numFmtId="171" fontId="0" fillId="5" borderId="14" xfId="1" applyNumberFormat="1" applyFont="1" applyFill="1" applyBorder="1" applyAlignment="1" applyProtection="1">
      <alignment horizontal="center" vertical="center"/>
      <protection locked="0"/>
    </xf>
    <xf numFmtId="171" fontId="0" fillId="5" borderId="15" xfId="1" applyNumberFormat="1" applyFont="1" applyFill="1" applyBorder="1" applyAlignment="1" applyProtection="1">
      <alignment horizontal="center" vertical="center"/>
      <protection locked="0"/>
    </xf>
    <xf numFmtId="14" fontId="12" fillId="0" borderId="3" xfId="2" applyNumberFormat="1" applyFont="1" applyBorder="1" applyAlignment="1" applyProtection="1">
      <alignment horizontal="center" vertical="center"/>
      <protection locked="0"/>
    </xf>
    <xf numFmtId="0" fontId="11" fillId="7" borderId="11" xfId="0" applyFont="1" applyFill="1" applyBorder="1" applyAlignment="1">
      <alignment horizontal="center" vertical="center"/>
    </xf>
    <xf numFmtId="0" fontId="11" fillId="7" borderId="10" xfId="0" applyFont="1" applyFill="1" applyBorder="1" applyAlignment="1">
      <alignment horizontal="center" vertical="center"/>
    </xf>
    <xf numFmtId="0" fontId="11" fillId="7" borderId="9" xfId="0" applyFont="1" applyFill="1" applyBorder="1" applyAlignment="1">
      <alignment horizontal="center" vertical="center"/>
    </xf>
    <xf numFmtId="0" fontId="11" fillId="7" borderId="17" xfId="0" applyFont="1" applyFill="1" applyBorder="1" applyAlignment="1">
      <alignment horizontal="center" vertical="center"/>
    </xf>
    <xf numFmtId="0" fontId="11" fillId="7" borderId="18" xfId="0" applyFont="1" applyFill="1" applyBorder="1" applyAlignment="1">
      <alignment horizontal="center" vertical="center"/>
    </xf>
    <xf numFmtId="0" fontId="11" fillId="7" borderId="19" xfId="0" applyFont="1" applyFill="1" applyBorder="1" applyAlignment="1">
      <alignment horizontal="center" vertical="center"/>
    </xf>
    <xf numFmtId="0" fontId="0" fillId="5" borderId="14" xfId="0" applyFill="1" applyBorder="1" applyAlignment="1" applyProtection="1">
      <alignment vertical="center"/>
      <protection locked="0"/>
    </xf>
    <xf numFmtId="0" fontId="0" fillId="5" borderId="15" xfId="0" applyFill="1" applyBorder="1" applyAlignment="1" applyProtection="1">
      <alignment vertical="center"/>
      <protection locked="0"/>
    </xf>
    <xf numFmtId="22" fontId="13" fillId="0" borderId="3" xfId="0" applyNumberFormat="1" applyFont="1" applyBorder="1" applyAlignment="1" applyProtection="1">
      <alignment horizontal="center" vertical="center"/>
      <protection locked="0"/>
    </xf>
    <xf numFmtId="0" fontId="36" fillId="3" borderId="14" xfId="0" applyFont="1" applyFill="1" applyBorder="1" applyAlignment="1" applyProtection="1">
      <alignment horizontal="center" vertical="center"/>
      <protection locked="0"/>
    </xf>
    <xf numFmtId="0" fontId="36" fillId="3" borderId="15" xfId="0" applyFont="1" applyFill="1" applyBorder="1" applyAlignment="1" applyProtection="1">
      <alignment horizontal="center" vertical="center"/>
      <protection locked="0"/>
    </xf>
    <xf numFmtId="0" fontId="35" fillId="3" borderId="14" xfId="0" applyFont="1" applyFill="1" applyBorder="1" applyAlignment="1" applyProtection="1">
      <alignment horizontal="center" vertical="center"/>
      <protection locked="0"/>
    </xf>
    <xf numFmtId="0" fontId="35" fillId="3" borderId="15" xfId="0" applyFont="1" applyFill="1" applyBorder="1" applyAlignment="1" applyProtection="1">
      <alignment horizontal="center" vertical="center"/>
      <protection locked="0"/>
    </xf>
    <xf numFmtId="0" fontId="10" fillId="7" borderId="20" xfId="0" applyFont="1" applyFill="1" applyBorder="1" applyAlignment="1">
      <alignment horizontal="center" vertical="center"/>
    </xf>
    <xf numFmtId="0" fontId="10" fillId="7" borderId="0" xfId="0" applyFont="1" applyFill="1" applyAlignment="1">
      <alignment horizontal="center" vertical="center"/>
    </xf>
    <xf numFmtId="0" fontId="10" fillId="7" borderId="17" xfId="0" applyFont="1" applyFill="1" applyBorder="1" applyAlignment="1">
      <alignment horizontal="center" vertical="center"/>
    </xf>
    <xf numFmtId="0" fontId="10" fillId="7" borderId="18" xfId="0" applyFont="1" applyFill="1" applyBorder="1" applyAlignment="1">
      <alignment horizontal="center" vertical="center"/>
    </xf>
    <xf numFmtId="0" fontId="5" fillId="0" borderId="14" xfId="0" applyFont="1" applyBorder="1" applyAlignment="1">
      <alignment horizontal="center" vertical="center"/>
    </xf>
    <xf numFmtId="0" fontId="5" fillId="0" borderId="15" xfId="0" applyFont="1" applyBorder="1" applyAlignment="1">
      <alignment horizontal="center" vertical="center"/>
    </xf>
    <xf numFmtId="0" fontId="12" fillId="2" borderId="11"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2" fillId="2" borderId="20" xfId="0" applyFont="1" applyFill="1" applyBorder="1" applyAlignment="1">
      <alignment horizontal="center" vertical="center" wrapText="1"/>
    </xf>
    <xf numFmtId="0" fontId="12" fillId="2" borderId="0" xfId="0" applyFont="1" applyFill="1" applyAlignment="1">
      <alignment horizontal="center" vertical="center" wrapText="1"/>
    </xf>
    <xf numFmtId="0" fontId="2" fillId="0" borderId="3" xfId="0" applyFont="1" applyBorder="1" applyAlignment="1">
      <alignment horizontal="center" vertical="center"/>
    </xf>
    <xf numFmtId="0" fontId="18" fillId="13" borderId="3" xfId="0" applyFont="1" applyFill="1" applyBorder="1" applyAlignment="1">
      <alignment horizontal="center" vertical="center"/>
    </xf>
    <xf numFmtId="0" fontId="18" fillId="13" borderId="4" xfId="0" applyFont="1" applyFill="1" applyBorder="1" applyAlignment="1">
      <alignment horizontal="center" vertical="center"/>
    </xf>
    <xf numFmtId="0" fontId="2" fillId="0" borderId="11"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19" xfId="0" applyFont="1" applyBorder="1" applyAlignment="1">
      <alignment horizontal="center" vertical="center" wrapText="1"/>
    </xf>
    <xf numFmtId="0" fontId="25" fillId="0" borderId="11" xfId="0" applyFont="1" applyBorder="1" applyAlignment="1">
      <alignment horizontal="center" vertical="center"/>
    </xf>
    <xf numFmtId="0" fontId="25" fillId="0" borderId="10" xfId="0" applyFont="1" applyBorder="1" applyAlignment="1">
      <alignment horizontal="center" vertical="center"/>
    </xf>
    <xf numFmtId="0" fontId="25" fillId="0" borderId="9" xfId="0" applyFont="1" applyBorder="1" applyAlignment="1">
      <alignment horizontal="center" vertical="center"/>
    </xf>
    <xf numFmtId="0" fontId="25" fillId="0" borderId="17" xfId="0" applyFont="1" applyBorder="1" applyAlignment="1">
      <alignment horizontal="center" vertical="center"/>
    </xf>
    <xf numFmtId="0" fontId="25" fillId="0" borderId="18" xfId="0" applyFont="1" applyBorder="1" applyAlignment="1">
      <alignment horizontal="center" vertical="center"/>
    </xf>
    <xf numFmtId="0" fontId="25" fillId="0" borderId="19" xfId="0" applyFont="1" applyBorder="1" applyAlignment="1">
      <alignment horizontal="center" vertical="center"/>
    </xf>
    <xf numFmtId="164" fontId="12" fillId="2" borderId="11" xfId="0" applyNumberFormat="1" applyFont="1" applyFill="1" applyBorder="1" applyAlignment="1">
      <alignment horizontal="center" vertical="center" wrapText="1"/>
    </xf>
    <xf numFmtId="164" fontId="12" fillId="2" borderId="10" xfId="0" applyNumberFormat="1" applyFont="1" applyFill="1" applyBorder="1" applyAlignment="1">
      <alignment horizontal="center" vertical="center" wrapText="1"/>
    </xf>
    <xf numFmtId="164" fontId="12" fillId="2" borderId="9" xfId="0" applyNumberFormat="1" applyFont="1" applyFill="1" applyBorder="1" applyAlignment="1">
      <alignment horizontal="center" vertical="center" wrapText="1"/>
    </xf>
    <xf numFmtId="164" fontId="12" fillId="2" borderId="17" xfId="0" applyNumberFormat="1" applyFont="1" applyFill="1" applyBorder="1" applyAlignment="1">
      <alignment horizontal="center" vertical="center" wrapText="1"/>
    </xf>
    <xf numFmtId="164" fontId="12" fillId="2" borderId="18" xfId="0" applyNumberFormat="1" applyFont="1" applyFill="1" applyBorder="1" applyAlignment="1">
      <alignment horizontal="center" vertical="center" wrapText="1"/>
    </xf>
    <xf numFmtId="164" fontId="12" fillId="2" borderId="19" xfId="0" applyNumberFormat="1" applyFont="1" applyFill="1" applyBorder="1" applyAlignment="1">
      <alignment horizontal="center" vertical="center" wrapText="1"/>
    </xf>
    <xf numFmtId="164" fontId="2" fillId="17" borderId="14" xfId="0" applyNumberFormat="1" applyFont="1" applyFill="1" applyBorder="1" applyAlignment="1">
      <alignment horizontal="center" vertical="center"/>
    </xf>
    <xf numFmtId="164" fontId="2" fillId="17" borderId="16" xfId="0" applyNumberFormat="1" applyFont="1" applyFill="1" applyBorder="1" applyAlignment="1">
      <alignment horizontal="center" vertical="center"/>
    </xf>
    <xf numFmtId="164" fontId="2" fillId="17" borderId="15" xfId="0" applyNumberFormat="1" applyFont="1" applyFill="1" applyBorder="1" applyAlignment="1">
      <alignment horizontal="center" vertical="center"/>
    </xf>
    <xf numFmtId="164" fontId="12" fillId="2" borderId="4" xfId="0" applyNumberFormat="1" applyFont="1" applyFill="1" applyBorder="1" applyAlignment="1">
      <alignment horizontal="center" vertical="center" wrapText="1"/>
    </xf>
    <xf numFmtId="164" fontId="12" fillId="2" borderId="5" xfId="0" applyNumberFormat="1" applyFont="1" applyFill="1" applyBorder="1" applyAlignment="1">
      <alignment horizontal="center" vertical="center" wrapText="1"/>
    </xf>
    <xf numFmtId="0" fontId="12" fillId="2" borderId="4" xfId="0" applyFont="1" applyFill="1" applyBorder="1" applyAlignment="1">
      <alignment horizontal="center" vertical="center" wrapText="1"/>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7"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12" fillId="2" borderId="18" xfId="0" applyFont="1" applyFill="1" applyBorder="1" applyAlignment="1">
      <alignment horizontal="center" vertical="center" wrapText="1"/>
    </xf>
    <xf numFmtId="0" fontId="18" fillId="5" borderId="14" xfId="0" applyFont="1" applyFill="1" applyBorder="1" applyAlignment="1">
      <alignment horizontal="center" vertical="center"/>
    </xf>
    <xf numFmtId="0" fontId="18" fillId="5" borderId="15" xfId="0" applyFont="1" applyFill="1" applyBorder="1" applyAlignment="1">
      <alignment horizontal="center" vertical="center"/>
    </xf>
    <xf numFmtId="0" fontId="18" fillId="9" borderId="3" xfId="0" applyFont="1" applyFill="1" applyBorder="1" applyAlignment="1">
      <alignment horizontal="center" vertical="center"/>
    </xf>
    <xf numFmtId="0" fontId="18" fillId="4" borderId="3" xfId="0" applyFont="1" applyFill="1" applyBorder="1" applyAlignment="1">
      <alignment horizontal="center" vertical="center"/>
    </xf>
    <xf numFmtId="0" fontId="18" fillId="10" borderId="14" xfId="0" applyFont="1" applyFill="1" applyBorder="1" applyAlignment="1">
      <alignment horizontal="center" vertical="center"/>
    </xf>
    <xf numFmtId="0" fontId="18" fillId="10" borderId="16" xfId="0" applyFont="1" applyFill="1" applyBorder="1" applyAlignment="1">
      <alignment horizontal="center" vertical="center"/>
    </xf>
    <xf numFmtId="0" fontId="18" fillId="12" borderId="14" xfId="0" applyFont="1" applyFill="1" applyBorder="1" applyAlignment="1">
      <alignment horizontal="center" vertical="center"/>
    </xf>
    <xf numFmtId="0" fontId="18" fillId="12" borderId="16" xfId="0" applyFont="1" applyFill="1" applyBorder="1" applyAlignment="1">
      <alignment horizontal="center" vertical="center"/>
    </xf>
    <xf numFmtId="0" fontId="18" fillId="14" borderId="11" xfId="0" applyFont="1" applyFill="1" applyBorder="1" applyAlignment="1">
      <alignment horizontal="center" vertical="center"/>
    </xf>
    <xf numFmtId="0" fontId="18" fillId="14" borderId="10" xfId="0" applyFont="1" applyFill="1" applyBorder="1" applyAlignment="1">
      <alignment horizontal="center" vertical="center"/>
    </xf>
    <xf numFmtId="0" fontId="18" fillId="14" borderId="9" xfId="0" applyFont="1" applyFill="1" applyBorder="1" applyAlignment="1">
      <alignment horizontal="center" vertical="center"/>
    </xf>
    <xf numFmtId="0" fontId="18" fillId="14" borderId="17" xfId="0" applyFont="1" applyFill="1" applyBorder="1" applyAlignment="1">
      <alignment horizontal="center" vertical="center"/>
    </xf>
    <xf numFmtId="0" fontId="18" fillId="14" borderId="18" xfId="0" applyFont="1" applyFill="1" applyBorder="1" applyAlignment="1">
      <alignment horizontal="center" vertical="center"/>
    </xf>
    <xf numFmtId="0" fontId="18" fillId="14" borderId="19" xfId="0" applyFont="1" applyFill="1" applyBorder="1" applyAlignment="1">
      <alignment horizontal="center" vertical="center"/>
    </xf>
    <xf numFmtId="0" fontId="18" fillId="6" borderId="3" xfId="0" applyFont="1" applyFill="1" applyBorder="1" applyAlignment="1">
      <alignment horizontal="center" vertical="center"/>
    </xf>
    <xf numFmtId="0" fontId="18" fillId="13" borderId="14" xfId="0" applyFont="1" applyFill="1" applyBorder="1" applyAlignment="1">
      <alignment horizontal="center" vertical="center"/>
    </xf>
    <xf numFmtId="0" fontId="18" fillId="13" borderId="16" xfId="0" applyFont="1" applyFill="1" applyBorder="1" applyAlignment="1">
      <alignment horizontal="center" vertical="center"/>
    </xf>
    <xf numFmtId="0" fontId="18" fillId="13" borderId="15" xfId="0" applyFont="1" applyFill="1" applyBorder="1" applyAlignment="1">
      <alignment horizontal="center" vertical="center"/>
    </xf>
    <xf numFmtId="0" fontId="18" fillId="5" borderId="3" xfId="0" applyFont="1" applyFill="1" applyBorder="1" applyAlignment="1">
      <alignment horizontal="center" vertical="center"/>
    </xf>
    <xf numFmtId="0" fontId="18" fillId="11" borderId="11" xfId="0" applyFont="1" applyFill="1" applyBorder="1" applyAlignment="1">
      <alignment horizontal="center" vertical="center"/>
    </xf>
    <xf numFmtId="0" fontId="18" fillId="11" borderId="9" xfId="0" applyFont="1" applyFill="1" applyBorder="1" applyAlignment="1">
      <alignment horizontal="center" vertical="center"/>
    </xf>
    <xf numFmtId="0" fontId="18" fillId="11" borderId="17" xfId="0" applyFont="1" applyFill="1" applyBorder="1" applyAlignment="1">
      <alignment horizontal="center" vertical="center"/>
    </xf>
    <xf numFmtId="0" fontId="18" fillId="11" borderId="19" xfId="0" applyFont="1" applyFill="1" applyBorder="1" applyAlignment="1">
      <alignment horizontal="center" vertical="center"/>
    </xf>
    <xf numFmtId="0" fontId="18" fillId="11" borderId="4" xfId="0" applyFont="1" applyFill="1" applyBorder="1" applyAlignment="1">
      <alignment horizontal="center" vertical="center"/>
    </xf>
    <xf numFmtId="0" fontId="18" fillId="11" borderId="5" xfId="0" applyFont="1" applyFill="1" applyBorder="1" applyAlignment="1">
      <alignment horizontal="center" vertical="center"/>
    </xf>
    <xf numFmtId="0" fontId="18" fillId="11" borderId="11" xfId="0" applyFont="1" applyFill="1" applyBorder="1" applyAlignment="1">
      <alignment horizontal="center" vertical="center" wrapText="1"/>
    </xf>
    <xf numFmtId="0" fontId="18" fillId="11" borderId="10" xfId="0" applyFont="1" applyFill="1" applyBorder="1" applyAlignment="1">
      <alignment horizontal="center" vertical="center" wrapText="1"/>
    </xf>
    <xf numFmtId="0" fontId="18" fillId="11" borderId="9" xfId="0" applyFont="1" applyFill="1" applyBorder="1" applyAlignment="1">
      <alignment horizontal="center" vertical="center" wrapText="1"/>
    </xf>
    <xf numFmtId="0" fontId="18" fillId="11" borderId="17" xfId="0" applyFont="1" applyFill="1" applyBorder="1" applyAlignment="1">
      <alignment horizontal="center" vertical="center" wrapText="1"/>
    </xf>
    <xf numFmtId="0" fontId="18" fillId="11" borderId="18" xfId="0" applyFont="1" applyFill="1" applyBorder="1" applyAlignment="1">
      <alignment horizontal="center" vertical="center" wrapText="1"/>
    </xf>
    <xf numFmtId="0" fontId="18" fillId="11" borderId="19" xfId="0" applyFont="1" applyFill="1" applyBorder="1" applyAlignment="1">
      <alignment horizontal="center" vertical="center" wrapText="1"/>
    </xf>
    <xf numFmtId="0" fontId="14" fillId="0" borderId="3" xfId="0" applyFont="1" applyBorder="1" applyAlignment="1">
      <alignment horizontal="center" vertical="center"/>
    </xf>
    <xf numFmtId="0" fontId="15" fillId="17" borderId="3" xfId="0" applyFont="1" applyFill="1" applyBorder="1" applyAlignment="1">
      <alignment horizontal="right" vertical="center"/>
    </xf>
    <xf numFmtId="49" fontId="24" fillId="3" borderId="3" xfId="0" applyNumberFormat="1" applyFont="1" applyFill="1" applyBorder="1" applyAlignment="1">
      <alignment horizontal="left" vertical="center" wrapText="1" shrinkToFit="1"/>
    </xf>
    <xf numFmtId="0" fontId="15" fillId="16" borderId="3" xfId="0" applyFont="1" applyFill="1" applyBorder="1" applyAlignment="1">
      <alignment horizontal="right" vertical="center"/>
    </xf>
    <xf numFmtId="49" fontId="24" fillId="3" borderId="3" xfId="0" applyNumberFormat="1" applyFont="1" applyFill="1" applyBorder="1" applyAlignment="1">
      <alignment horizontal="center" vertical="center" wrapText="1" shrinkToFit="1"/>
    </xf>
    <xf numFmtId="0" fontId="14" fillId="3" borderId="3" xfId="0" applyFont="1" applyFill="1" applyBorder="1" applyAlignment="1">
      <alignment horizontal="center" vertical="center"/>
    </xf>
    <xf numFmtId="0" fontId="11" fillId="7" borderId="20" xfId="0" applyFont="1" applyFill="1" applyBorder="1" applyAlignment="1">
      <alignment horizontal="center" vertical="center"/>
    </xf>
    <xf numFmtId="0" fontId="11" fillId="7" borderId="0" xfId="0" applyFont="1" applyFill="1" applyAlignment="1">
      <alignment horizontal="center" vertical="center"/>
    </xf>
    <xf numFmtId="3" fontId="14" fillId="0" borderId="3" xfId="0" applyNumberFormat="1" applyFont="1" applyBorder="1" applyAlignment="1">
      <alignment horizontal="center" vertical="center"/>
    </xf>
    <xf numFmtId="3" fontId="14" fillId="0" borderId="14" xfId="0" applyNumberFormat="1" applyFont="1" applyBorder="1" applyAlignment="1">
      <alignment horizontal="center" vertical="center"/>
    </xf>
    <xf numFmtId="3" fontId="14" fillId="0" borderId="16" xfId="0" applyNumberFormat="1" applyFont="1" applyBorder="1" applyAlignment="1">
      <alignment horizontal="center" vertical="center"/>
    </xf>
    <xf numFmtId="3" fontId="14" fillId="0" borderId="15" xfId="0" applyNumberFormat="1" applyFont="1" applyBorder="1" applyAlignment="1">
      <alignment horizontal="center" vertical="center"/>
    </xf>
    <xf numFmtId="0" fontId="10" fillId="7" borderId="14" xfId="0" applyFont="1" applyFill="1" applyBorder="1" applyAlignment="1">
      <alignment horizontal="center" vertical="center"/>
    </xf>
    <xf numFmtId="0" fontId="10" fillId="7" borderId="16" xfId="0" applyFont="1" applyFill="1" applyBorder="1" applyAlignment="1">
      <alignment horizontal="center" vertical="center"/>
    </xf>
    <xf numFmtId="0" fontId="10" fillId="7" borderId="15" xfId="0" applyFont="1" applyFill="1" applyBorder="1" applyAlignment="1">
      <alignment horizontal="center" vertical="center"/>
    </xf>
    <xf numFmtId="0" fontId="14" fillId="17" borderId="3" xfId="0" applyFont="1" applyFill="1" applyBorder="1" applyAlignment="1" applyProtection="1">
      <alignment horizontal="center" vertical="center"/>
      <protection locked="0"/>
    </xf>
    <xf numFmtId="0" fontId="2" fillId="17" borderId="11" xfId="0" applyFont="1" applyFill="1" applyBorder="1" applyAlignment="1" applyProtection="1">
      <alignment horizontal="center" vertical="center"/>
      <protection locked="0"/>
    </xf>
    <xf numFmtId="0" fontId="2" fillId="17" borderId="10" xfId="0" applyFont="1" applyFill="1" applyBorder="1" applyAlignment="1" applyProtection="1">
      <alignment horizontal="center" vertical="center"/>
      <protection locked="0"/>
    </xf>
    <xf numFmtId="0" fontId="2" fillId="17" borderId="9" xfId="0" applyFont="1" applyFill="1" applyBorder="1" applyAlignment="1" applyProtection="1">
      <alignment horizontal="center" vertical="center"/>
      <protection locked="0"/>
    </xf>
    <xf numFmtId="0" fontId="2" fillId="17" borderId="20" xfId="0" applyFont="1" applyFill="1" applyBorder="1" applyAlignment="1" applyProtection="1">
      <alignment horizontal="center" vertical="center"/>
      <protection locked="0"/>
    </xf>
    <xf numFmtId="0" fontId="2" fillId="17" borderId="0" xfId="0" applyFont="1" applyFill="1" applyAlignment="1" applyProtection="1">
      <alignment horizontal="center" vertical="center"/>
      <protection locked="0"/>
    </xf>
    <xf numFmtId="0" fontId="2" fillId="17" borderId="21" xfId="0" applyFont="1" applyFill="1" applyBorder="1" applyAlignment="1" applyProtection="1">
      <alignment horizontal="center" vertical="center"/>
      <protection locked="0"/>
    </xf>
    <xf numFmtId="0" fontId="2" fillId="17" borderId="17" xfId="0" applyFont="1" applyFill="1" applyBorder="1" applyAlignment="1" applyProtection="1">
      <alignment horizontal="center" vertical="center"/>
      <protection locked="0"/>
    </xf>
    <xf numFmtId="0" fontId="2" fillId="17" borderId="18" xfId="0" applyFont="1" applyFill="1" applyBorder="1" applyAlignment="1" applyProtection="1">
      <alignment horizontal="center" vertical="center"/>
      <protection locked="0"/>
    </xf>
    <xf numFmtId="0" fontId="2" fillId="17" borderId="19" xfId="0" applyFont="1" applyFill="1" applyBorder="1" applyAlignment="1" applyProtection="1">
      <alignment horizontal="center" vertical="center"/>
      <protection locked="0"/>
    </xf>
    <xf numFmtId="0" fontId="19" fillId="17" borderId="17" xfId="0" applyFont="1" applyFill="1" applyBorder="1" applyAlignment="1">
      <alignment vertical="center"/>
    </xf>
    <xf numFmtId="0" fontId="19" fillId="17" borderId="18" xfId="0" applyFont="1" applyFill="1" applyBorder="1" applyAlignment="1">
      <alignment vertical="center"/>
    </xf>
    <xf numFmtId="0" fontId="19" fillId="17" borderId="19" xfId="0" applyFont="1" applyFill="1" applyBorder="1" applyAlignment="1">
      <alignmen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9" fillId="17" borderId="20" xfId="0" applyFont="1" applyFill="1" applyBorder="1" applyAlignment="1">
      <alignment vertical="center"/>
    </xf>
    <xf numFmtId="0" fontId="19" fillId="17" borderId="0" xfId="0" applyFont="1" applyFill="1" applyAlignment="1">
      <alignment vertical="center"/>
    </xf>
    <xf numFmtId="0" fontId="19" fillId="17" borderId="21" xfId="0" applyFont="1" applyFill="1" applyBorder="1" applyAlignment="1">
      <alignment vertical="center"/>
    </xf>
    <xf numFmtId="22" fontId="13" fillId="2" borderId="12" xfId="0" applyNumberFormat="1" applyFont="1" applyFill="1" applyBorder="1" applyAlignment="1">
      <alignment horizontal="center" vertical="center"/>
    </xf>
    <xf numFmtId="22" fontId="13" fillId="2" borderId="7" xfId="0" applyNumberFormat="1" applyFont="1" applyFill="1" applyBorder="1" applyAlignment="1">
      <alignment horizontal="center" vertical="center"/>
    </xf>
    <xf numFmtId="22" fontId="13" fillId="16" borderId="14" xfId="0" applyNumberFormat="1" applyFont="1" applyFill="1" applyBorder="1" applyAlignment="1">
      <alignment horizontal="center" vertical="center"/>
    </xf>
    <xf numFmtId="22" fontId="13" fillId="16" borderId="15" xfId="0" applyNumberFormat="1" applyFont="1" applyFill="1" applyBorder="1" applyAlignment="1">
      <alignment horizontal="center" vertical="center"/>
    </xf>
    <xf numFmtId="0" fontId="15" fillId="17" borderId="14" xfId="0" applyFont="1" applyFill="1" applyBorder="1" applyAlignment="1">
      <alignment horizontal="right" vertical="center"/>
    </xf>
    <xf numFmtId="0" fontId="15" fillId="17" borderId="16" xfId="0" applyFont="1" applyFill="1" applyBorder="1" applyAlignment="1">
      <alignment horizontal="right" vertical="center"/>
    </xf>
    <xf numFmtId="0" fontId="15" fillId="17" borderId="15" xfId="0" applyFont="1" applyFill="1" applyBorder="1" applyAlignment="1">
      <alignment horizontal="right" vertical="center"/>
    </xf>
    <xf numFmtId="0" fontId="0" fillId="17" borderId="14" xfId="0" applyFill="1" applyBorder="1" applyAlignment="1" applyProtection="1">
      <alignment vertical="center"/>
      <protection locked="0"/>
    </xf>
    <xf numFmtId="0" fontId="0" fillId="17" borderId="15" xfId="0" applyFill="1" applyBorder="1" applyAlignment="1" applyProtection="1">
      <alignment vertical="center"/>
      <protection locked="0"/>
    </xf>
    <xf numFmtId="0" fontId="14" fillId="17" borderId="11"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7" borderId="20" xfId="0" applyFont="1" applyFill="1" applyBorder="1" applyAlignment="1" applyProtection="1">
      <alignment horizontal="center" vertical="center"/>
      <protection locked="0"/>
    </xf>
    <xf numFmtId="0" fontId="14" fillId="17" borderId="0" xfId="0" applyFont="1" applyFill="1" applyAlignment="1" applyProtection="1">
      <alignment horizontal="center" vertical="center"/>
      <protection locked="0"/>
    </xf>
    <xf numFmtId="0" fontId="14" fillId="17" borderId="17" xfId="0" applyFont="1" applyFill="1" applyBorder="1" applyAlignment="1" applyProtection="1">
      <alignment horizontal="center" vertical="center"/>
      <protection locked="0"/>
    </xf>
    <xf numFmtId="0" fontId="14" fillId="17" borderId="18" xfId="0" applyFont="1" applyFill="1" applyBorder="1" applyAlignment="1" applyProtection="1">
      <alignment horizontal="center" vertical="center"/>
      <protection locked="0"/>
    </xf>
    <xf numFmtId="0" fontId="19" fillId="17" borderId="11" xfId="0" applyFont="1" applyFill="1" applyBorder="1" applyAlignment="1">
      <alignment vertical="center"/>
    </xf>
    <xf numFmtId="0" fontId="19" fillId="17" borderId="10" xfId="0" applyFont="1" applyFill="1" applyBorder="1" applyAlignment="1">
      <alignment vertical="center"/>
    </xf>
    <xf numFmtId="0" fontId="19" fillId="17" borderId="9" xfId="0" applyFont="1" applyFill="1" applyBorder="1" applyAlignment="1">
      <alignment vertical="center"/>
    </xf>
    <xf numFmtId="0" fontId="15" fillId="17" borderId="14" xfId="0" applyFont="1" applyFill="1" applyBorder="1" applyAlignment="1">
      <alignment horizontal="right" vertical="center" wrapText="1"/>
    </xf>
    <xf numFmtId="0" fontId="15" fillId="17" borderId="16" xfId="0" applyFont="1" applyFill="1" applyBorder="1" applyAlignment="1">
      <alignment horizontal="right" vertical="center" wrapText="1"/>
    </xf>
    <xf numFmtId="0" fontId="15" fillId="17" borderId="15" xfId="0" applyFont="1" applyFill="1" applyBorder="1" applyAlignment="1">
      <alignment horizontal="right" vertical="center" wrapText="1"/>
    </xf>
    <xf numFmtId="0" fontId="14" fillId="0" borderId="13" xfId="0" applyFont="1" applyBorder="1" applyAlignment="1">
      <alignment horizontal="center" vertical="center"/>
    </xf>
    <xf numFmtId="0" fontId="14" fillId="0" borderId="8" xfId="0" applyFont="1" applyBorder="1" applyAlignment="1">
      <alignment horizontal="center" vertical="center"/>
    </xf>
    <xf numFmtId="1" fontId="14" fillId="0" borderId="3" xfId="0" applyNumberFormat="1" applyFont="1" applyBorder="1" applyAlignment="1" applyProtection="1">
      <alignment horizontal="center" vertical="center"/>
      <protection locked="0"/>
    </xf>
    <xf numFmtId="14" fontId="14" fillId="0" borderId="3" xfId="0" applyNumberFormat="1" applyFont="1" applyBorder="1" applyAlignment="1" applyProtection="1">
      <alignment horizontal="center" vertical="center"/>
      <protection locked="0"/>
    </xf>
    <xf numFmtId="0" fontId="14" fillId="0" borderId="3" xfId="0" applyFont="1" applyBorder="1" applyAlignment="1" applyProtection="1">
      <alignment horizontal="center" vertical="center"/>
      <protection locked="0"/>
    </xf>
    <xf numFmtId="0" fontId="2" fillId="0" borderId="13" xfId="0" applyFont="1" applyBorder="1" applyAlignment="1">
      <alignment horizontal="center" vertical="center"/>
    </xf>
    <xf numFmtId="0" fontId="2" fillId="0" borderId="8" xfId="0" applyFont="1" applyBorder="1" applyAlignment="1">
      <alignment horizontal="center" vertical="center"/>
    </xf>
    <xf numFmtId="166" fontId="14" fillId="0" borderId="3" xfId="0" applyNumberFormat="1" applyFont="1" applyBorder="1" applyAlignment="1">
      <alignment horizontal="center" vertical="center"/>
    </xf>
    <xf numFmtId="0" fontId="14" fillId="3" borderId="3" xfId="0" applyFont="1" applyFill="1" applyBorder="1" applyAlignment="1" applyProtection="1">
      <alignment horizontal="center" vertical="center"/>
      <protection locked="0"/>
    </xf>
    <xf numFmtId="22" fontId="14" fillId="0" borderId="3" xfId="0" applyNumberFormat="1" applyFont="1" applyBorder="1" applyAlignment="1">
      <alignment horizontal="center" vertical="center"/>
    </xf>
    <xf numFmtId="0" fontId="3" fillId="18" borderId="3" xfId="0" applyFont="1" applyFill="1" applyBorder="1" applyAlignment="1">
      <alignment horizontal="center"/>
    </xf>
    <xf numFmtId="0" fontId="0" fillId="18" borderId="3" xfId="0" applyFill="1" applyBorder="1" applyAlignment="1">
      <alignment horizontal="center"/>
    </xf>
    <xf numFmtId="0" fontId="3" fillId="20" borderId="3" xfId="0" applyFont="1" applyFill="1" applyBorder="1" applyAlignment="1">
      <alignment horizontal="center" vertical="center"/>
    </xf>
    <xf numFmtId="0" fontId="3" fillId="19" borderId="3" xfId="0" applyFont="1" applyFill="1" applyBorder="1" applyAlignment="1">
      <alignment horizontal="center" vertical="center"/>
    </xf>
    <xf numFmtId="0" fontId="1" fillId="16" borderId="0" xfId="11" applyFill="1" applyAlignment="1">
      <alignment horizontal="left" vertical="top" wrapText="1"/>
    </xf>
    <xf numFmtId="0" fontId="47" fillId="16" borderId="0" xfId="11" applyFont="1" applyFill="1" applyAlignment="1">
      <alignment horizontal="left"/>
    </xf>
    <xf numFmtId="0" fontId="48" fillId="16" borderId="18" xfId="11" applyFont="1" applyFill="1" applyBorder="1" applyAlignment="1">
      <alignment horizontal="center"/>
    </xf>
    <xf numFmtId="174" fontId="48" fillId="16" borderId="0" xfId="11" applyNumberFormat="1" applyFont="1" applyFill="1" applyAlignment="1">
      <alignment horizontal="center"/>
    </xf>
    <xf numFmtId="174" fontId="48" fillId="16" borderId="18" xfId="11" applyNumberFormat="1" applyFont="1" applyFill="1" applyBorder="1" applyAlignment="1">
      <alignment horizontal="center"/>
    </xf>
    <xf numFmtId="0" fontId="1" fillId="16" borderId="0" xfId="11" applyFill="1" applyAlignment="1">
      <alignment horizontal="justify" vertical="top" wrapText="1"/>
    </xf>
    <xf numFmtId="0" fontId="47" fillId="16" borderId="0" xfId="11" applyFont="1" applyFill="1" applyAlignment="1">
      <alignment horizontal="center"/>
    </xf>
    <xf numFmtId="0" fontId="47" fillId="16" borderId="18" xfId="11" applyFont="1" applyFill="1" applyBorder="1" applyAlignment="1">
      <alignment horizontal="center"/>
    </xf>
    <xf numFmtId="174" fontId="49" fillId="16" borderId="16" xfId="11" applyNumberFormat="1" applyFont="1" applyFill="1" applyBorder="1" applyAlignment="1">
      <alignment horizontal="center"/>
    </xf>
    <xf numFmtId="0" fontId="52" fillId="16" borderId="18" xfId="11" applyFont="1" applyFill="1" applyBorder="1" applyAlignment="1">
      <alignment horizontal="center"/>
    </xf>
    <xf numFmtId="0" fontId="59" fillId="16" borderId="0" xfId="2" applyFont="1" applyFill="1"/>
    <xf numFmtId="0" fontId="59" fillId="16" borderId="0" xfId="2" quotePrefix="1" applyFont="1" applyFill="1"/>
    <xf numFmtId="0" fontId="59" fillId="0" borderId="0" xfId="2" applyFont="1"/>
    <xf numFmtId="14" fontId="64" fillId="17" borderId="0" xfId="2" quotePrefix="1" applyNumberFormat="1" applyFont="1" applyFill="1" applyAlignment="1">
      <alignment horizontal="center"/>
    </xf>
    <xf numFmtId="0" fontId="64" fillId="17" borderId="0" xfId="2" applyFont="1" applyFill="1" applyAlignment="1">
      <alignment horizontal="center"/>
    </xf>
    <xf numFmtId="14" fontId="64" fillId="17" borderId="0" xfId="2" applyNumberFormat="1" applyFont="1" applyFill="1" applyAlignment="1">
      <alignment horizontal="center"/>
    </xf>
    <xf numFmtId="181" fontId="64" fillId="17" borderId="0" xfId="2" applyNumberFormat="1" applyFont="1" applyFill="1" applyAlignment="1">
      <alignment horizontal="center"/>
    </xf>
    <xf numFmtId="0" fontId="59" fillId="16" borderId="0" xfId="2" quotePrefix="1" applyFont="1" applyFill="1" applyAlignment="1">
      <alignment wrapText="1"/>
    </xf>
    <xf numFmtId="170" fontId="64" fillId="17" borderId="0" xfId="2" quotePrefix="1" applyNumberFormat="1" applyFont="1" applyFill="1" applyAlignment="1">
      <alignment horizontal="center"/>
    </xf>
    <xf numFmtId="170" fontId="64" fillId="17" borderId="0" xfId="2" applyNumberFormat="1" applyFont="1" applyFill="1" applyAlignment="1">
      <alignment horizontal="center"/>
    </xf>
    <xf numFmtId="0" fontId="64" fillId="17" borderId="0" xfId="2" quotePrefix="1" applyFont="1" applyFill="1" applyAlignment="1">
      <alignment horizontal="center"/>
    </xf>
    <xf numFmtId="165" fontId="64" fillId="17" borderId="0" xfId="2" quotePrefix="1" applyNumberFormat="1" applyFont="1" applyFill="1" applyAlignment="1">
      <alignment horizontal="center"/>
    </xf>
    <xf numFmtId="165" fontId="64" fillId="17" borderId="0" xfId="2" applyNumberFormat="1" applyFont="1" applyFill="1" applyAlignment="1">
      <alignment horizontal="center"/>
    </xf>
    <xf numFmtId="3" fontId="59" fillId="16" borderId="0" xfId="2" applyNumberFormat="1" applyFont="1" applyFill="1"/>
    <xf numFmtId="2" fontId="64" fillId="17" borderId="0" xfId="2" quotePrefix="1" applyNumberFormat="1" applyFont="1" applyFill="1" applyAlignment="1">
      <alignment horizontal="center"/>
    </xf>
    <xf numFmtId="181" fontId="64" fillId="17" borderId="0" xfId="2" quotePrefix="1" applyNumberFormat="1" applyFont="1" applyFill="1" applyAlignment="1">
      <alignment horizontal="center" wrapText="1"/>
    </xf>
    <xf numFmtId="0" fontId="65" fillId="17" borderId="0" xfId="2" applyFont="1" applyFill="1" applyAlignment="1">
      <alignment horizontal="center" vertical="center"/>
    </xf>
    <xf numFmtId="0" fontId="66" fillId="0" borderId="0" xfId="2" applyFont="1"/>
    <xf numFmtId="0" fontId="67" fillId="0" borderId="0" xfId="2" applyFont="1"/>
    <xf numFmtId="170" fontId="64" fillId="17" borderId="0" xfId="2" quotePrefix="1" applyNumberFormat="1" applyFont="1" applyFill="1" applyAlignment="1">
      <alignment horizontal="center" wrapText="1"/>
    </xf>
    <xf numFmtId="0" fontId="64" fillId="0" borderId="0" xfId="2" applyFont="1"/>
    <xf numFmtId="181" fontId="64" fillId="17" borderId="0" xfId="2" quotePrefix="1" applyNumberFormat="1" applyFont="1" applyFill="1" applyAlignment="1">
      <alignment horizontal="center"/>
    </xf>
    <xf numFmtId="1" fontId="64" fillId="17" borderId="0" xfId="2" quotePrefix="1" applyNumberFormat="1" applyFont="1" applyFill="1" applyAlignment="1">
      <alignment horizontal="center"/>
    </xf>
    <xf numFmtId="1" fontId="64" fillId="17" borderId="0" xfId="2" applyNumberFormat="1" applyFont="1" applyFill="1" applyAlignment="1">
      <alignment horizontal="center"/>
    </xf>
    <xf numFmtId="0" fontId="64" fillId="17" borderId="0" xfId="2" applyFont="1" applyFill="1" applyAlignment="1">
      <alignment horizontal="center"/>
    </xf>
    <xf numFmtId="165" fontId="59" fillId="0" borderId="0" xfId="2" applyNumberFormat="1" applyFont="1"/>
    <xf numFmtId="182" fontId="13" fillId="0" borderId="14" xfId="0" applyNumberFormat="1" applyFont="1" applyBorder="1" applyAlignment="1" applyProtection="1">
      <alignment horizontal="center" vertical="center"/>
      <protection locked="0"/>
    </xf>
    <xf numFmtId="1" fontId="13" fillId="0" borderId="3" xfId="0" applyNumberFormat="1" applyFont="1" applyBorder="1" applyAlignment="1" applyProtection="1">
      <alignment horizontal="center" vertical="center"/>
      <protection locked="0"/>
    </xf>
    <xf numFmtId="183" fontId="38" fillId="0" borderId="3" xfId="0" applyNumberFormat="1" applyFont="1" applyBorder="1" applyAlignment="1" applyProtection="1">
      <alignment horizontal="center" vertical="center"/>
      <protection locked="0"/>
    </xf>
    <xf numFmtId="184" fontId="64" fillId="17" borderId="0" xfId="2" quotePrefix="1" applyNumberFormat="1" applyFont="1" applyFill="1" applyAlignment="1">
      <alignment horizontal="center"/>
    </xf>
  </cellXfs>
  <cellStyles count="12">
    <cellStyle name="Komma_Cert of origin " xfId="5" xr:uid="{00000000-0005-0000-0000-000000000000}"/>
    <cellStyle name="Normal" xfId="0" builtinId="0"/>
    <cellStyle name="Normal 2" xfId="2" xr:uid="{00000000-0005-0000-0000-000002000000}"/>
    <cellStyle name="Normal 3" xfId="10" xr:uid="{00000000-0005-0000-0000-000003000000}"/>
    <cellStyle name="Normal 4" xfId="11" xr:uid="{00000000-0005-0000-0000-000004000000}"/>
    <cellStyle name="Porcentagem 2" xfId="3" xr:uid="{00000000-0005-0000-0000-000005000000}"/>
    <cellStyle name="Valuta [0]_Cert of origin " xfId="6" xr:uid="{00000000-0005-0000-0000-000006000000}"/>
    <cellStyle name="Valuta_Cert of origin " xfId="7" xr:uid="{00000000-0005-0000-0000-000007000000}"/>
    <cellStyle name="Vírgula" xfId="1" builtinId="3"/>
    <cellStyle name="Vírgula 2" xfId="4" xr:uid="{00000000-0005-0000-0000-000009000000}"/>
    <cellStyle name="Vírgula 2 2" xfId="9" xr:uid="{00000000-0005-0000-0000-00000A000000}"/>
    <cellStyle name="Vírgula 3" xfId="8" xr:uid="{00000000-0005-0000-0000-00000B000000}"/>
  </cellStyles>
  <dxfs count="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numFmt numFmtId="169" formatCode="dd/mm/yy"/>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style="thin">
          <color indexed="64"/>
        </right>
        <top/>
        <bottom/>
      </border>
      <protection locked="1" hidden="0"/>
    </dxf>
    <dxf>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style="thin">
          <color indexed="64"/>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9" defaultPivotStyle="PivotStyleLight16">
    <tableStyle name="Invisible" pivot="0" table="0" count="0" xr9:uid="{CAF968D1-8E4F-467F-86BF-BEA82D35A9A0}"/>
  </tableStyles>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Efeito da salinidade no teor de água do gás natural</a:t>
            </a:r>
          </a:p>
        </c:rich>
      </c:tx>
      <c:layout>
        <c:manualLayout>
          <c:xMode val="edge"/>
          <c:yMode val="edge"/>
          <c:x val="0.2007798505256167"/>
          <c:y val="1.3468009897396565E-2"/>
        </c:manualLayout>
      </c:layout>
      <c:overlay val="1"/>
    </c:title>
    <c:autoTitleDeleted val="0"/>
    <c:plotArea>
      <c:layout>
        <c:manualLayout>
          <c:layoutTarget val="inner"/>
          <c:xMode val="edge"/>
          <c:yMode val="edge"/>
          <c:x val="0.13305822040875739"/>
          <c:y val="9.7752300497812639E-2"/>
          <c:w val="0.84136119033647661"/>
          <c:h val="0.79310353055395677"/>
        </c:manualLayout>
      </c:layout>
      <c:scatterChart>
        <c:scatterStyle val="smoothMarker"/>
        <c:varyColors val="0"/>
        <c:ser>
          <c:idx val="0"/>
          <c:order val="0"/>
          <c:xVal>
            <c:numRef>
              <c:f>vaporH2O!$N$89:$N$95</c:f>
              <c:numCache>
                <c:formatCode>General</c:formatCode>
                <c:ptCount val="7"/>
                <c:pt idx="0">
                  <c:v>0</c:v>
                </c:pt>
                <c:pt idx="1">
                  <c:v>5</c:v>
                </c:pt>
                <c:pt idx="2">
                  <c:v>10</c:v>
                </c:pt>
                <c:pt idx="3">
                  <c:v>15</c:v>
                </c:pt>
                <c:pt idx="4">
                  <c:v>20</c:v>
                </c:pt>
                <c:pt idx="5">
                  <c:v>25</c:v>
                </c:pt>
                <c:pt idx="6">
                  <c:v>30</c:v>
                </c:pt>
              </c:numCache>
            </c:numRef>
          </c:xVal>
          <c:yVal>
            <c:numRef>
              <c:f>vaporH2O!$Q$89:$Q$95</c:f>
              <c:numCache>
                <c:formatCode>General</c:formatCode>
                <c:ptCount val="7"/>
                <c:pt idx="0">
                  <c:v>1</c:v>
                </c:pt>
                <c:pt idx="1">
                  <c:v>0.97499999999999998</c:v>
                </c:pt>
                <c:pt idx="2">
                  <c:v>0.93799999999999994</c:v>
                </c:pt>
                <c:pt idx="3">
                  <c:v>0.88900000000000001</c:v>
                </c:pt>
                <c:pt idx="4">
                  <c:v>0.83299999999999996</c:v>
                </c:pt>
                <c:pt idx="5">
                  <c:v>0.76900000000000002</c:v>
                </c:pt>
                <c:pt idx="6">
                  <c:v>0.70399999999999996</c:v>
                </c:pt>
              </c:numCache>
            </c:numRef>
          </c:yVal>
          <c:smooth val="1"/>
          <c:extLst>
            <c:ext xmlns:c16="http://schemas.microsoft.com/office/drawing/2014/chart" uri="{C3380CC4-5D6E-409C-BE32-E72D297353CC}">
              <c16:uniqueId val="{00000000-BCBA-4C9A-8F20-D655341AA5B1}"/>
            </c:ext>
          </c:extLst>
        </c:ser>
        <c:dLbls>
          <c:showLegendKey val="0"/>
          <c:showVal val="0"/>
          <c:showCatName val="0"/>
          <c:showSerName val="0"/>
          <c:showPercent val="0"/>
          <c:showBubbleSize val="0"/>
        </c:dLbls>
        <c:axId val="88732800"/>
        <c:axId val="88734720"/>
      </c:scatterChart>
      <c:valAx>
        <c:axId val="88732800"/>
        <c:scaling>
          <c:orientation val="minMax"/>
          <c:max val="30"/>
          <c:min val="0"/>
        </c:scaling>
        <c:delete val="0"/>
        <c:axPos val="b"/>
        <c:minorGridlines/>
        <c:title>
          <c:tx>
            <c:rich>
              <a:bodyPr/>
              <a:lstStyle/>
              <a:p>
                <a:pPr>
                  <a:defRPr/>
                </a:pPr>
                <a:r>
                  <a:rPr lang="en-US"/>
                  <a:t>Total de Sólidos Dissolvidos, %m/m</a:t>
                </a:r>
              </a:p>
            </c:rich>
          </c:tx>
          <c:layout>
            <c:manualLayout>
              <c:xMode val="edge"/>
              <c:yMode val="edge"/>
              <c:x val="0.35838243789716928"/>
              <c:y val="0.94745858918354431"/>
            </c:manualLayout>
          </c:layout>
          <c:overlay val="0"/>
        </c:title>
        <c:numFmt formatCode="General" sourceLinked="1"/>
        <c:majorTickMark val="out"/>
        <c:minorTickMark val="none"/>
        <c:tickLblPos val="nextTo"/>
        <c:crossAx val="88734720"/>
        <c:crosses val="autoZero"/>
        <c:crossBetween val="midCat"/>
      </c:valAx>
      <c:valAx>
        <c:axId val="88734720"/>
        <c:scaling>
          <c:orientation val="minMax"/>
          <c:max val="1"/>
          <c:min val="0.60000000000000009"/>
        </c:scaling>
        <c:delete val="0"/>
        <c:axPos val="l"/>
        <c:majorGridlines/>
        <c:title>
          <c:tx>
            <c:rich>
              <a:bodyPr rot="-5400000" vert="horz"/>
              <a:lstStyle/>
              <a:p>
                <a:pPr>
                  <a:defRPr/>
                </a:pPr>
                <a:r>
                  <a:rPr lang="en-US"/>
                  <a:t>Razão entre a solubilidade no gás natural de água de salmoura e a solubilidade no gás natural de água pura</a:t>
                </a:r>
              </a:p>
            </c:rich>
          </c:tx>
          <c:layout>
            <c:manualLayout>
              <c:xMode val="edge"/>
              <c:yMode val="edge"/>
              <c:x val="3.2698772272183501E-3"/>
              <c:y val="9.9907182081396095E-2"/>
            </c:manualLayout>
          </c:layout>
          <c:overlay val="0"/>
        </c:title>
        <c:numFmt formatCode="0.00" sourceLinked="0"/>
        <c:majorTickMark val="out"/>
        <c:minorTickMark val="none"/>
        <c:tickLblPos val="nextTo"/>
        <c:crossAx val="88732800"/>
        <c:crosses val="autoZero"/>
        <c:crossBetween val="midCat"/>
      </c:valAx>
      <c:spPr>
        <a:noFill/>
      </c:spPr>
    </c:plotArea>
    <c:plotVisOnly val="1"/>
    <c:dispBlanksAs val="gap"/>
    <c:showDLblsOverMax val="0"/>
  </c:chart>
  <c:spPr>
    <a:noFill/>
  </c:sp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835194</xdr:colOff>
      <xdr:row>1</xdr:row>
      <xdr:rowOff>529611</xdr:rowOff>
    </xdr:to>
    <xdr:pic>
      <xdr:nvPicPr>
        <xdr:cNvPr id="2" name="Picture 2" descr="Principal_h-RGB_baixa">
          <a:extLst>
            <a:ext uri="{FF2B5EF4-FFF2-40B4-BE49-F238E27FC236}">
              <a16:creationId xmlns:a16="http://schemas.microsoft.com/office/drawing/2014/main" id="{D4F56C9D-C822-4A28-8B20-AC9FCA15B27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3995" y="203200"/>
          <a:ext cx="1535599" cy="4915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182880</xdr:colOff>
          <xdr:row>60</xdr:row>
          <xdr:rowOff>266700</xdr:rowOff>
        </xdr:from>
        <xdr:to>
          <xdr:col>9</xdr:col>
          <xdr:colOff>213360</xdr:colOff>
          <xdr:row>64</xdr:row>
          <xdr:rowOff>0</xdr:rowOff>
        </xdr:to>
        <xdr:sp macro="" textlink="">
          <xdr:nvSpPr>
            <xdr:cNvPr id="6145" name="Button 1" descr="Leitura de dados do PI" hidden="1">
              <a:extLst>
                <a:ext uri="{63B3BB69-23CF-44E3-9099-C40C66FF867C}">
                  <a14:compatExt spid="_x0000_s6145"/>
                </a:ext>
                <a:ext uri="{FF2B5EF4-FFF2-40B4-BE49-F238E27FC236}">
                  <a16:creationId xmlns:a16="http://schemas.microsoft.com/office/drawing/2014/main" id="{ED84CD71-3316-47B3-BE03-70E90A20C60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Leitura de dados do 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289560</xdr:rowOff>
        </xdr:from>
        <xdr:to>
          <xdr:col>5</xdr:col>
          <xdr:colOff>30480</xdr:colOff>
          <xdr:row>64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10283143-81C1-4DB2-884D-662CB1D9001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Preparar para Novo BTP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373380</xdr:colOff>
          <xdr:row>60</xdr:row>
          <xdr:rowOff>266700</xdr:rowOff>
        </xdr:from>
        <xdr:to>
          <xdr:col>13</xdr:col>
          <xdr:colOff>403860</xdr:colOff>
          <xdr:row>64</xdr:row>
          <xdr:rowOff>0</xdr:rowOff>
        </xdr:to>
        <xdr:sp macro="" textlink="">
          <xdr:nvSpPr>
            <xdr:cNvPr id="6147" name="Button 3" descr="Leitura de dados do PI" hidden="1">
              <a:extLst>
                <a:ext uri="{63B3BB69-23CF-44E3-9099-C40C66FF867C}">
                  <a14:compatExt spid="_x0000_s6147"/>
                </a:ext>
                <a:ext uri="{FF2B5EF4-FFF2-40B4-BE49-F238E27FC236}">
                  <a16:creationId xmlns:a16="http://schemas.microsoft.com/office/drawing/2014/main" id="{F709F7CF-EB28-42F7-9952-2D8D2800D84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Dados PVT e Cromtografia</a:t>
              </a:r>
            </a:p>
          </xdr:txBody>
        </xdr:sp>
        <xdr:clientData fPrintsWithSheet="0"/>
      </xdr:twoCellAnchor>
    </mc:Choice>
    <mc:Fallback/>
  </mc:AlternateContent>
  <xdr:twoCellAnchor editAs="oneCell">
    <xdr:from>
      <xdr:col>1</xdr:col>
      <xdr:colOff>640774</xdr:colOff>
      <xdr:row>75</xdr:row>
      <xdr:rowOff>138546</xdr:rowOff>
    </xdr:from>
    <xdr:to>
      <xdr:col>10</xdr:col>
      <xdr:colOff>803795</xdr:colOff>
      <xdr:row>86</xdr:row>
      <xdr:rowOff>41295</xdr:rowOff>
    </xdr:to>
    <xdr:pic>
      <xdr:nvPicPr>
        <xdr:cNvPr id="3" name="Imagem 2">
          <a:extLst>
            <a:ext uri="{FF2B5EF4-FFF2-40B4-BE49-F238E27FC236}">
              <a16:creationId xmlns:a16="http://schemas.microsoft.com/office/drawing/2014/main" id="{D8F29639-4ABB-40A0-A818-AC3082358F10}"/>
            </a:ext>
          </a:extLst>
        </xdr:cNvPr>
        <xdr:cNvPicPr>
          <a:picLocks noChangeAspect="1"/>
        </xdr:cNvPicPr>
      </xdr:nvPicPr>
      <xdr:blipFill>
        <a:blip xmlns:r="http://schemas.openxmlformats.org/officeDocument/2006/relationships" r:embed="rId2"/>
        <a:stretch>
          <a:fillRect/>
        </a:stretch>
      </xdr:blipFill>
      <xdr:spPr>
        <a:xfrm>
          <a:off x="826194" y="24753686"/>
          <a:ext cx="8962851" cy="2529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835194</xdr:colOff>
      <xdr:row>1</xdr:row>
      <xdr:rowOff>529611</xdr:rowOff>
    </xdr:to>
    <xdr:pic>
      <xdr:nvPicPr>
        <xdr:cNvPr id="1067" name="Picture 2" descr="Principal_h-RGB_baixa">
          <a:extLst>
            <a:ext uri="{FF2B5EF4-FFF2-40B4-BE49-F238E27FC236}">
              <a16:creationId xmlns:a16="http://schemas.microsoft.com/office/drawing/2014/main" id="{00000000-0008-0000-0000-00002B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200025"/>
          <a:ext cx="15240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182880</xdr:colOff>
          <xdr:row>60</xdr:row>
          <xdr:rowOff>266700</xdr:rowOff>
        </xdr:from>
        <xdr:to>
          <xdr:col>9</xdr:col>
          <xdr:colOff>213360</xdr:colOff>
          <xdr:row>64</xdr:row>
          <xdr:rowOff>0</xdr:rowOff>
        </xdr:to>
        <xdr:sp macro="" textlink="">
          <xdr:nvSpPr>
            <xdr:cNvPr id="1026" name="Button 2" descr="Leitura de dados do PI"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Leitura de dados do 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289560</xdr:rowOff>
        </xdr:from>
        <xdr:to>
          <xdr:col>5</xdr:col>
          <xdr:colOff>30480</xdr:colOff>
          <xdr:row>64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Preparar para Novo BTP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373380</xdr:colOff>
          <xdr:row>60</xdr:row>
          <xdr:rowOff>266700</xdr:rowOff>
        </xdr:from>
        <xdr:to>
          <xdr:col>13</xdr:col>
          <xdr:colOff>403860</xdr:colOff>
          <xdr:row>64</xdr:row>
          <xdr:rowOff>0</xdr:rowOff>
        </xdr:to>
        <xdr:sp macro="" textlink="">
          <xdr:nvSpPr>
            <xdr:cNvPr id="1028" name="Button 4" descr="Leitura de dados do PI"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Dados PVT e Cromtografia</a:t>
              </a:r>
            </a:p>
          </xdr:txBody>
        </xdr:sp>
        <xdr:clientData fPrintsWithSheet="0"/>
      </xdr:twoCellAnchor>
    </mc:Choice>
    <mc:Fallback/>
  </mc:AlternateContent>
  <xdr:twoCellAnchor editAs="oneCell">
    <xdr:from>
      <xdr:col>1</xdr:col>
      <xdr:colOff>640774</xdr:colOff>
      <xdr:row>75</xdr:row>
      <xdr:rowOff>138546</xdr:rowOff>
    </xdr:from>
    <xdr:to>
      <xdr:col>10</xdr:col>
      <xdr:colOff>803795</xdr:colOff>
      <xdr:row>86</xdr:row>
      <xdr:rowOff>41295</xdr:rowOff>
    </xdr:to>
    <xdr:pic>
      <xdr:nvPicPr>
        <xdr:cNvPr id="6" name="Imagem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813956" y="26150455"/>
          <a:ext cx="8797635" cy="26286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545230</xdr:colOff>
      <xdr:row>1</xdr:row>
      <xdr:rowOff>506751</xdr:rowOff>
    </xdr:to>
    <xdr:pic>
      <xdr:nvPicPr>
        <xdr:cNvPr id="2" name="Picture 2" descr="Principal_h-RGB_baixa">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200025"/>
          <a:ext cx="1526305" cy="468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276225</xdr:colOff>
      <xdr:row>30</xdr:row>
      <xdr:rowOff>157161</xdr:rowOff>
    </xdr:from>
    <xdr:ext cx="3200400" cy="637290"/>
    <mc:AlternateContent xmlns:mc="http://schemas.openxmlformats.org/markup-compatibility/2006" xmlns:a14="http://schemas.microsoft.com/office/drawing/2010/main">
      <mc:Choice Requires="a14">
        <xdr:sp macro="" textlink="">
          <xdr:nvSpPr>
            <xdr:cNvPr id="2" name="CaixaDeTexto 1">
              <a:extLst>
                <a:ext uri="{FF2B5EF4-FFF2-40B4-BE49-F238E27FC236}">
                  <a16:creationId xmlns:a16="http://schemas.microsoft.com/office/drawing/2014/main" id="{00000000-0008-0000-0300-000002000000}"/>
                </a:ext>
              </a:extLst>
            </xdr:cNvPr>
            <xdr:cNvSpPr txBox="1"/>
          </xdr:nvSpPr>
          <xdr:spPr>
            <a:xfrm>
              <a:off x="1171575" y="5776911"/>
              <a:ext cx="3200400" cy="637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𝑤</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f>
                      <m:fPr>
                        <m:ctrlPr>
                          <a:rPr lang="pt-BR" sz="1100" b="0" i="1">
                            <a:latin typeface="Cambria Math" panose="02040503050406030204" pitchFamily="18" charset="0"/>
                          </a:rPr>
                        </m:ctrlPr>
                      </m:fPr>
                      <m:num>
                        <m:r>
                          <a:rPr lang="pt-BR" sz="1100" b="0" i="1">
                            <a:latin typeface="Cambria Math"/>
                          </a:rPr>
                          <m:t>101325</m:t>
                        </m:r>
                      </m:num>
                      <m:den>
                        <m:r>
                          <a:rPr lang="pt-BR" sz="1100" b="0" i="1">
                            <a:latin typeface="Cambria Math"/>
                          </a:rPr>
                          <m:t>𝑃</m:t>
                        </m:r>
                      </m:den>
                    </m:f>
                    <m:d>
                      <m:dPr>
                        <m:ctrlPr>
                          <a:rPr lang="pt-BR" sz="1100" b="0" i="1">
                            <a:latin typeface="Cambria Math" panose="02040503050406030204" pitchFamily="18" charset="0"/>
                          </a:rPr>
                        </m:ctrlPr>
                      </m:dPr>
                      <m:e>
                        <m:nary>
                          <m:naryPr>
                            <m:chr m:val="∑"/>
                            <m:ctrlPr>
                              <a:rPr lang="pt-BR" sz="1100" b="0" i="1">
                                <a:solidFill>
                                  <a:schemeClr val="tx1"/>
                                </a:solidFill>
                                <a:effectLst/>
                                <a:latin typeface="Cambria Math" panose="02040503050406030204" pitchFamily="18" charset="0"/>
                                <a:ea typeface="+mn-ea"/>
                                <a:cs typeface="+mn-cs"/>
                              </a:rPr>
                            </m:ctrlPr>
                          </m:naryPr>
                          <m:sub>
                            <m:r>
                              <m:rPr>
                                <m:brk m:alnAt="23"/>
                              </m:rPr>
                              <a:rPr lang="pt-BR" sz="1100" b="0" i="1">
                                <a:solidFill>
                                  <a:schemeClr val="tx1"/>
                                </a:solidFill>
                                <a:effectLst/>
                                <a:latin typeface="Cambria Math"/>
                                <a:ea typeface="+mn-ea"/>
                                <a:cs typeface="+mn-cs"/>
                              </a:rPr>
                              <m:t>𝑖</m:t>
                            </m:r>
                            <m:r>
                              <a:rPr lang="pt-BR" sz="1100" b="0" i="1">
                                <a:solidFill>
                                  <a:schemeClr val="tx1"/>
                                </a:solidFill>
                                <a:effectLst/>
                                <a:latin typeface="Cambria Math"/>
                                <a:ea typeface="+mn-ea"/>
                                <a:cs typeface="+mn-cs"/>
                              </a:rPr>
                              <m:t>=0</m:t>
                            </m:r>
                          </m:sub>
                          <m:sup>
                            <m:r>
                              <a:rPr lang="pt-BR" sz="1100" b="0" i="1">
                                <a:solidFill>
                                  <a:schemeClr val="tx1"/>
                                </a:solidFill>
                                <a:effectLst/>
                                <a:latin typeface="Cambria Math"/>
                                <a:ea typeface="+mn-ea"/>
                                <a:cs typeface="+mn-cs"/>
                              </a:rPr>
                              <m:t>7</m:t>
                            </m:r>
                          </m:sup>
                          <m:e>
                            <m:sSub>
                              <m:sSubPr>
                                <m:ctrlPr>
                                  <a:rPr lang="pt-BR" sz="1100" b="0" i="1">
                                    <a:solidFill>
                                      <a:schemeClr val="tx1"/>
                                    </a:solidFill>
                                    <a:effectLst/>
                                    <a:latin typeface="Cambria Math" panose="02040503050406030204" pitchFamily="18" charset="0"/>
                                    <a:ea typeface="+mn-ea"/>
                                    <a:cs typeface="+mn-cs"/>
                                  </a:rPr>
                                </m:ctrlPr>
                              </m:sSubPr>
                              <m:e>
                                <m:r>
                                  <a:rPr lang="pt-BR" sz="1100" b="0" i="1">
                                    <a:solidFill>
                                      <a:schemeClr val="tx1"/>
                                    </a:solidFill>
                                    <a:effectLst/>
                                    <a:latin typeface="Cambria Math"/>
                                    <a:ea typeface="+mn-ea"/>
                                    <a:cs typeface="+mn-cs"/>
                                  </a:rPr>
                                  <m:t>𝑎</m:t>
                                </m:r>
                              </m:e>
                              <m:sub>
                                <m:r>
                                  <a:rPr lang="pt-BR" sz="1100" b="0" i="1">
                                    <a:solidFill>
                                      <a:schemeClr val="tx1"/>
                                    </a:solidFill>
                                    <a:effectLst/>
                                    <a:latin typeface="Cambria Math"/>
                                    <a:ea typeface="+mn-ea"/>
                                    <a:cs typeface="+mn-cs"/>
                                  </a:rPr>
                                  <m:t>𝑖</m:t>
                                </m:r>
                              </m:sub>
                            </m:sSub>
                            <m:r>
                              <a:rPr lang="pt-BR" sz="1100" b="0" i="1">
                                <a:solidFill>
                                  <a:schemeClr val="tx1"/>
                                </a:solidFill>
                                <a:effectLst/>
                                <a:latin typeface="Cambria Math"/>
                                <a:ea typeface="+mn-ea"/>
                                <a:cs typeface="+mn-cs"/>
                              </a:rPr>
                              <m:t>∙</m:t>
                            </m:r>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𝑡</m:t>
                                </m:r>
                              </m:e>
                              <m:sup>
                                <m:r>
                                  <a:rPr lang="pt-BR" sz="1100" b="0" i="1">
                                    <a:solidFill>
                                      <a:schemeClr val="tx1"/>
                                    </a:solidFill>
                                    <a:effectLst/>
                                    <a:latin typeface="Cambria Math"/>
                                    <a:ea typeface="+mn-ea"/>
                                    <a:cs typeface="+mn-cs"/>
                                  </a:rPr>
                                  <m:t>𝑖</m:t>
                                </m:r>
                              </m:sup>
                            </m:sSup>
                          </m:e>
                        </m:nary>
                      </m:e>
                    </m:d>
                    <m:r>
                      <a:rPr lang="pt-BR" sz="1100" b="0" i="1">
                        <a:latin typeface="Cambria Math"/>
                      </a:rPr>
                      <m:t>+</m:t>
                    </m:r>
                    <m:d>
                      <m:dPr>
                        <m:ctrlPr>
                          <a:rPr lang="pt-BR" sz="1100" b="0" i="1">
                            <a:solidFill>
                              <a:schemeClr val="tx1"/>
                            </a:solidFill>
                            <a:effectLst/>
                            <a:latin typeface="Cambria Math" panose="02040503050406030204" pitchFamily="18" charset="0"/>
                            <a:ea typeface="+mn-ea"/>
                            <a:cs typeface="+mn-cs"/>
                          </a:rPr>
                        </m:ctrlPr>
                      </m:dPr>
                      <m:e>
                        <m:nary>
                          <m:naryPr>
                            <m:chr m:val="∑"/>
                            <m:ctrlPr>
                              <a:rPr lang="pt-BR" sz="1100" b="0" i="1">
                                <a:solidFill>
                                  <a:schemeClr val="tx1"/>
                                </a:solidFill>
                                <a:effectLst/>
                                <a:latin typeface="Cambria Math" panose="02040503050406030204" pitchFamily="18" charset="0"/>
                                <a:ea typeface="+mn-ea"/>
                                <a:cs typeface="+mn-cs"/>
                              </a:rPr>
                            </m:ctrlPr>
                          </m:naryPr>
                          <m:sub>
                            <m:r>
                              <m:rPr>
                                <m:brk m:alnAt="23"/>
                              </m:rPr>
                              <a:rPr lang="pt-BR" sz="1100" b="0" i="1">
                                <a:solidFill>
                                  <a:schemeClr val="tx1"/>
                                </a:solidFill>
                                <a:effectLst/>
                                <a:latin typeface="Cambria Math"/>
                                <a:ea typeface="+mn-ea"/>
                                <a:cs typeface="+mn-cs"/>
                              </a:rPr>
                              <m:t>𝑖</m:t>
                            </m:r>
                            <m:r>
                              <a:rPr lang="pt-BR" sz="1100" b="0" i="1">
                                <a:solidFill>
                                  <a:schemeClr val="tx1"/>
                                </a:solidFill>
                                <a:effectLst/>
                                <a:latin typeface="Cambria Math"/>
                                <a:ea typeface="+mn-ea"/>
                                <a:cs typeface="+mn-cs"/>
                              </a:rPr>
                              <m:t>=0</m:t>
                            </m:r>
                          </m:sub>
                          <m:sup>
                            <m:r>
                              <a:rPr lang="pt-BR" sz="1100" b="0" i="1">
                                <a:solidFill>
                                  <a:schemeClr val="tx1"/>
                                </a:solidFill>
                                <a:effectLst/>
                                <a:latin typeface="Cambria Math"/>
                                <a:ea typeface="+mn-ea"/>
                                <a:cs typeface="+mn-cs"/>
                              </a:rPr>
                              <m:t>7</m:t>
                            </m:r>
                          </m:sup>
                          <m:e>
                            <m:sSub>
                              <m:sSubPr>
                                <m:ctrlPr>
                                  <a:rPr lang="pt-BR" sz="1100" b="0" i="1">
                                    <a:solidFill>
                                      <a:schemeClr val="tx1"/>
                                    </a:solidFill>
                                    <a:effectLst/>
                                    <a:latin typeface="Cambria Math" panose="02040503050406030204" pitchFamily="18" charset="0"/>
                                    <a:ea typeface="+mn-ea"/>
                                    <a:cs typeface="+mn-cs"/>
                                  </a:rPr>
                                </m:ctrlPr>
                              </m:sSubPr>
                              <m:e>
                                <m:r>
                                  <a:rPr lang="pt-BR" sz="1100" b="0" i="1">
                                    <a:solidFill>
                                      <a:schemeClr val="tx1"/>
                                    </a:solidFill>
                                    <a:effectLst/>
                                    <a:latin typeface="Cambria Math"/>
                                    <a:ea typeface="+mn-ea"/>
                                    <a:cs typeface="+mn-cs"/>
                                  </a:rPr>
                                  <m:t>𝑏</m:t>
                                </m:r>
                              </m:e>
                              <m:sub>
                                <m:r>
                                  <a:rPr lang="pt-BR" sz="1100" b="0" i="1">
                                    <a:solidFill>
                                      <a:schemeClr val="tx1"/>
                                    </a:solidFill>
                                    <a:effectLst/>
                                    <a:latin typeface="Cambria Math"/>
                                    <a:ea typeface="+mn-ea"/>
                                    <a:cs typeface="+mn-cs"/>
                                  </a:rPr>
                                  <m:t>𝑖</m:t>
                                </m:r>
                              </m:sub>
                            </m:sSub>
                            <m:r>
                              <a:rPr lang="pt-BR" sz="1100" b="0" i="1">
                                <a:solidFill>
                                  <a:schemeClr val="tx1"/>
                                </a:solidFill>
                                <a:effectLst/>
                                <a:latin typeface="Cambria Math"/>
                                <a:ea typeface="+mn-ea"/>
                                <a:cs typeface="+mn-cs"/>
                              </a:rPr>
                              <m:t>∙</m:t>
                            </m:r>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𝑡</m:t>
                                </m:r>
                              </m:e>
                              <m:sup>
                                <m:r>
                                  <a:rPr lang="pt-BR" sz="1100" b="0" i="1">
                                    <a:solidFill>
                                      <a:schemeClr val="tx1"/>
                                    </a:solidFill>
                                    <a:effectLst/>
                                    <a:latin typeface="Cambria Math"/>
                                    <a:ea typeface="+mn-ea"/>
                                    <a:cs typeface="+mn-cs"/>
                                  </a:rPr>
                                  <m:t>𝑖</m:t>
                                </m:r>
                              </m:sup>
                            </m:sSup>
                          </m:e>
                        </m:nary>
                      </m:e>
                    </m:d>
                  </m:oMath>
                </m:oMathPara>
              </a14:m>
              <a:endParaRPr lang="pt-BR" sz="1100"/>
            </a:p>
          </xdr:txBody>
        </xdr:sp>
      </mc:Choice>
      <mc:Fallback xmlns="">
        <xdr:sp macro="" textlink="">
          <xdr:nvSpPr>
            <xdr:cNvPr id="2" name="CaixaDeTexto 1">
              <a:extLst>
                <a:ext uri="{FF2B5EF4-FFF2-40B4-BE49-F238E27FC236}">
                  <a16:creationId xmlns:a16="http://schemas.microsoft.com/office/drawing/2014/main" id="{00000000-0008-0000-0000-000002000000}"/>
                </a:ext>
              </a:extLst>
            </xdr:cNvPr>
            <xdr:cNvSpPr txBox="1"/>
          </xdr:nvSpPr>
          <xdr:spPr>
            <a:xfrm>
              <a:off x="1171575" y="5776911"/>
              <a:ext cx="3200400" cy="637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=101325</a:t>
              </a:r>
              <a:r>
                <a:rPr lang="pt-BR" sz="1100" b="0" i="0">
                  <a:latin typeface="Cambria Math" panose="02040503050406030204" pitchFamily="18" charset="0"/>
                </a:rPr>
                <a:t>/</a:t>
              </a:r>
              <a:r>
                <a:rPr lang="pt-BR" sz="1100" b="0" i="0">
                  <a:latin typeface="Cambria Math"/>
                </a:rPr>
                <a:t>𝑃</a:t>
              </a:r>
              <a:r>
                <a:rPr lang="pt-BR" sz="1100" b="0" i="0">
                  <a:latin typeface="Cambria Math" panose="02040503050406030204" pitchFamily="18" charset="0"/>
                </a:rPr>
                <a:t> (</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𝑖=0</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7</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𝑎</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𝑖∙𝑡</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𝑖</a:t>
              </a:r>
              <a:r>
                <a:rPr lang="pt-BR" sz="1100" b="0" i="0">
                  <a:solidFill>
                    <a:schemeClr val="tx1"/>
                  </a:solidFill>
                  <a:effectLst/>
                  <a:latin typeface="Cambria Math" panose="02040503050406030204" pitchFamily="18" charset="0"/>
                  <a:ea typeface="+mn-ea"/>
                  <a:cs typeface="+mn-cs"/>
                </a:rPr>
                <a:t> 〗)</a:t>
              </a:r>
              <a:r>
                <a:rPr lang="pt-BR" sz="1100" b="0" i="0">
                  <a:latin typeface="Cambria Math"/>
                </a:rPr>
                <a:t>+</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𝑖=0</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7</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𝑏</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𝑖∙𝑡</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𝑖</a:t>
              </a:r>
              <a:r>
                <a:rPr lang="pt-BR" sz="1100" b="0" i="0">
                  <a:solidFill>
                    <a:schemeClr val="tx1"/>
                  </a:solidFill>
                  <a:effectLst/>
                  <a:latin typeface="Cambria Math" panose="02040503050406030204" pitchFamily="18" charset="0"/>
                  <a:ea typeface="+mn-ea"/>
                  <a:cs typeface="+mn-cs"/>
                </a:rPr>
                <a:t> 〗)</a:t>
              </a:r>
              <a:endParaRPr lang="pt-BR" sz="1100"/>
            </a:p>
          </xdr:txBody>
        </xdr:sp>
      </mc:Fallback>
    </mc:AlternateContent>
    <xdr:clientData/>
  </xdr:oneCellAnchor>
  <xdr:oneCellAnchor>
    <xdr:from>
      <xdr:col>1</xdr:col>
      <xdr:colOff>38099</xdr:colOff>
      <xdr:row>51</xdr:row>
      <xdr:rowOff>66675</xdr:rowOff>
    </xdr:from>
    <xdr:ext cx="5200651" cy="674993"/>
    <mc:AlternateContent xmlns:mc="http://schemas.openxmlformats.org/markup-compatibility/2006" xmlns:a14="http://schemas.microsoft.com/office/drawing/2010/main">
      <mc:Choice Requires="a14">
        <xdr:sp macro="" textlink="">
          <xdr:nvSpPr>
            <xdr:cNvPr id="3" name="CaixaDeTexto 2">
              <a:extLst>
                <a:ext uri="{FF2B5EF4-FFF2-40B4-BE49-F238E27FC236}">
                  <a16:creationId xmlns:a16="http://schemas.microsoft.com/office/drawing/2014/main" id="{00000000-0008-0000-0300-000003000000}"/>
                </a:ext>
              </a:extLst>
            </xdr:cNvPr>
            <xdr:cNvSpPr txBox="1"/>
          </xdr:nvSpPr>
          <xdr:spPr>
            <a:xfrm>
              <a:off x="323849" y="9591675"/>
              <a:ext cx="5200651" cy="67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𝑦</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sSub>
                      <m:sSubPr>
                        <m:ctrlPr>
                          <a:rPr lang="pt-BR" sz="1100" b="0" i="1">
                            <a:latin typeface="Cambria Math" panose="02040503050406030204" pitchFamily="18" charset="0"/>
                          </a:rPr>
                        </m:ctrlPr>
                      </m:sSubPr>
                      <m:e>
                        <m:r>
                          <a:rPr lang="pt-BR" sz="1100" b="0" i="1">
                            <a:latin typeface="Cambria Math"/>
                          </a:rPr>
                          <m:t>𝑤</m:t>
                        </m:r>
                      </m:e>
                      <m:sub>
                        <m:sSub>
                          <m:sSubPr>
                            <m:ctrlPr>
                              <a:rPr lang="pt-BR" sz="1100" b="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1 </m:t>
                            </m:r>
                            <m:r>
                              <a:rPr lang="pt-BR" sz="1100" b="0" i="1">
                                <a:latin typeface="Cambria Math"/>
                                <a:ea typeface="Cambria Math"/>
                              </a:rPr>
                              <m:t>𝑔</m:t>
                            </m:r>
                          </m:num>
                          <m:den>
                            <m:r>
                              <a:rPr lang="pt-BR" sz="1100" b="0" i="1">
                                <a:latin typeface="Cambria Math"/>
                                <a:ea typeface="Cambria Math"/>
                              </a:rPr>
                              <m:t>1000 </m:t>
                            </m:r>
                            <m:r>
                              <a:rPr lang="pt-BR" sz="1100" b="0" i="1">
                                <a:latin typeface="Cambria Math"/>
                                <a:ea typeface="Cambria Math"/>
                              </a:rPr>
                              <m:t>𝑚𝑔</m:t>
                            </m:r>
                          </m:den>
                        </m:f>
                      </m:e>
                    </m:d>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m:t>
                            </m:r>
                          </m:num>
                          <m:den>
                            <m:r>
                              <a:rPr lang="pt-BR" sz="1100" b="0" i="1">
                                <a:latin typeface="Cambria Math"/>
                                <a:ea typeface="Cambria Math"/>
                              </a:rPr>
                              <m:t>18,015 </m:t>
                            </m:r>
                            <m:r>
                              <a:rPr lang="pt-BR" sz="1100" b="0" i="1">
                                <a:latin typeface="Cambria Math"/>
                                <a:ea typeface="Cambria Math"/>
                              </a:rPr>
                              <m:t>𝑔</m:t>
                            </m:r>
                            <m:r>
                              <a:rPr lang="pt-BR" sz="1100" b="0" i="1">
                                <a:latin typeface="Cambria Math"/>
                                <a:ea typeface="Cambria Math"/>
                              </a:rPr>
                              <m:t>/</m:t>
                            </m:r>
                            <m:r>
                              <a:rPr lang="pt-BR" sz="1100" b="0" i="1">
                                <a:latin typeface="Cambria Math"/>
                                <a:ea typeface="Cambria Math"/>
                              </a:rPr>
                              <m:t>𝑚𝑜𝑙</m:t>
                            </m:r>
                          </m:den>
                        </m:f>
                      </m:e>
                    </m:d>
                    <m:r>
                      <a:rPr lang="pt-BR" sz="1100" b="0" i="1">
                        <a:latin typeface="Cambria Math"/>
                        <a:ea typeface="Cambria Math"/>
                      </a:rPr>
                      <m:t>∙</m:t>
                    </m:r>
                    <m:d>
                      <m:dPr>
                        <m:begChr m:val="["/>
                        <m:endChr m:val="]"/>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d>
                              <m:dPr>
                                <m:ctrlPr>
                                  <a:rPr lang="pt-BR" sz="1100" b="0" i="1">
                                    <a:solidFill>
                                      <a:schemeClr val="tx1"/>
                                    </a:solidFill>
                                    <a:effectLst/>
                                    <a:latin typeface="Cambria Math" panose="02040503050406030204" pitchFamily="18" charset="0"/>
                                    <a:ea typeface="+mn-ea"/>
                                    <a:cs typeface="+mn-cs"/>
                                  </a:rPr>
                                </m:ctrlPr>
                              </m:dPr>
                              <m:e>
                                <m:r>
                                  <a:rPr lang="pt-BR" sz="1100" b="0" i="1">
                                    <a:solidFill>
                                      <a:schemeClr val="tx1"/>
                                    </a:solidFill>
                                    <a:effectLst/>
                                    <a:latin typeface="Cambria Math"/>
                                    <a:ea typeface="+mn-ea"/>
                                    <a:cs typeface="+mn-cs"/>
                                  </a:rPr>
                                  <m:t>8,314472</m:t>
                                </m:r>
                                <m:f>
                                  <m:fPr>
                                    <m:ctrlPr>
                                      <a:rPr lang="pt-BR" sz="1100" b="0" i="1">
                                        <a:solidFill>
                                          <a:schemeClr val="tx1"/>
                                        </a:solidFill>
                                        <a:effectLst/>
                                        <a:latin typeface="Cambria Math" panose="02040503050406030204" pitchFamily="18" charset="0"/>
                                        <a:ea typeface="+mn-ea"/>
                                        <a:cs typeface="+mn-cs"/>
                                      </a:rPr>
                                    </m:ctrlPr>
                                  </m:fPr>
                                  <m:num>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 </m:t>
                                        </m:r>
                                        <m:r>
                                          <a:rPr lang="pt-BR" sz="1100" b="0" i="1">
                                            <a:solidFill>
                                              <a:schemeClr val="tx1"/>
                                            </a:solidFill>
                                            <a:effectLst/>
                                            <a:latin typeface="Cambria Math"/>
                                            <a:ea typeface="+mn-ea"/>
                                            <a:cs typeface="+mn-cs"/>
                                          </a:rPr>
                                          <m:t>𝑚</m:t>
                                        </m:r>
                                      </m:e>
                                      <m:sup>
                                        <m:r>
                                          <a:rPr lang="pt-BR" sz="1100" b="0" i="1">
                                            <a:solidFill>
                                              <a:schemeClr val="tx1"/>
                                            </a:solidFill>
                                            <a:effectLst/>
                                            <a:latin typeface="Cambria Math"/>
                                            <a:ea typeface="+mn-ea"/>
                                            <a:cs typeface="+mn-cs"/>
                                          </a:rPr>
                                          <m:t>3</m:t>
                                        </m:r>
                                      </m:sup>
                                    </m:sSup>
                                    <m:r>
                                      <a:rPr lang="pt-BR" sz="1100" b="0" i="1">
                                        <a:solidFill>
                                          <a:schemeClr val="tx1"/>
                                        </a:solidFill>
                                        <a:effectLst/>
                                        <a:latin typeface="Cambria Math"/>
                                        <a:ea typeface="Cambria Math"/>
                                        <a:cs typeface="+mn-cs"/>
                                      </a:rPr>
                                      <m:t>∙</m:t>
                                    </m:r>
                                    <m:r>
                                      <a:rPr lang="pt-BR" sz="1100" b="0" i="1">
                                        <a:solidFill>
                                          <a:schemeClr val="tx1"/>
                                        </a:solidFill>
                                        <a:effectLst/>
                                        <a:latin typeface="Cambria Math"/>
                                        <a:ea typeface="+mn-ea"/>
                                        <a:cs typeface="+mn-cs"/>
                                      </a:rPr>
                                      <m:t>𝑃𝑎</m:t>
                                    </m:r>
                                  </m:num>
                                  <m:den>
                                    <m:r>
                                      <a:rPr lang="pt-BR" sz="1100" b="0" i="1">
                                        <a:solidFill>
                                          <a:schemeClr val="tx1"/>
                                        </a:solidFill>
                                        <a:effectLst/>
                                        <a:latin typeface="Cambria Math"/>
                                        <a:ea typeface="+mn-ea"/>
                                        <a:cs typeface="+mn-cs"/>
                                      </a:rPr>
                                      <m:t>𝐾</m:t>
                                    </m:r>
                                    <m:r>
                                      <a:rPr lang="pt-BR" sz="1100" b="0" i="1">
                                        <a:solidFill>
                                          <a:schemeClr val="tx1"/>
                                        </a:solidFill>
                                        <a:effectLst/>
                                        <a:latin typeface="Cambria Math"/>
                                        <a:ea typeface="Cambria Math"/>
                                        <a:cs typeface="+mn-cs"/>
                                      </a:rPr>
                                      <m:t>∙</m:t>
                                    </m:r>
                                    <m:r>
                                      <a:rPr lang="pt-BR" sz="1100" b="0" i="1">
                                        <a:solidFill>
                                          <a:schemeClr val="tx1"/>
                                        </a:solidFill>
                                        <a:effectLst/>
                                        <a:latin typeface="Cambria Math"/>
                                        <a:ea typeface="Cambria Math"/>
                                        <a:cs typeface="+mn-cs"/>
                                      </a:rPr>
                                      <m:t>𝑚𝑜𝑙</m:t>
                                    </m:r>
                                  </m:den>
                                </m:f>
                              </m:e>
                            </m:d>
                            <m:r>
                              <a:rPr lang="pt-BR" sz="1100" b="0" i="1">
                                <a:solidFill>
                                  <a:schemeClr val="tx1"/>
                                </a:solidFill>
                                <a:effectLst/>
                                <a:latin typeface="Cambria Math"/>
                                <a:ea typeface="+mn-ea"/>
                                <a:cs typeface="+mn-cs"/>
                              </a:rPr>
                              <m:t>∙(288,15 </m:t>
                            </m:r>
                            <m:r>
                              <a:rPr lang="pt-BR" sz="1100" b="0" i="1">
                                <a:solidFill>
                                  <a:schemeClr val="tx1"/>
                                </a:solidFill>
                                <a:effectLst/>
                                <a:latin typeface="Cambria Math"/>
                                <a:ea typeface="+mn-ea"/>
                                <a:cs typeface="+mn-cs"/>
                              </a:rPr>
                              <m:t>𝐾</m:t>
                            </m:r>
                            <m:r>
                              <a:rPr lang="pt-BR" sz="1100" b="0" i="1">
                                <a:solidFill>
                                  <a:schemeClr val="tx1"/>
                                </a:solidFill>
                                <a:effectLst/>
                                <a:latin typeface="Cambria Math"/>
                                <a:ea typeface="+mn-ea"/>
                                <a:cs typeface="+mn-cs"/>
                              </a:rPr>
                              <m:t>)</m:t>
                            </m:r>
                          </m:num>
                          <m:den>
                            <m:r>
                              <a:rPr lang="pt-BR" sz="1100" b="0" i="1">
                                <a:latin typeface="Cambria Math"/>
                                <a:ea typeface="Cambria Math"/>
                              </a:rPr>
                              <m:t>(101325 </m:t>
                            </m:r>
                            <m:r>
                              <a:rPr lang="pt-BR" sz="1100" b="0" i="1">
                                <a:latin typeface="Cambria Math"/>
                                <a:ea typeface="Cambria Math"/>
                              </a:rPr>
                              <m:t>𝑃𝑎</m:t>
                            </m:r>
                            <m:r>
                              <a:rPr lang="pt-BR" sz="1100" b="0" i="1">
                                <a:latin typeface="Cambria Math"/>
                                <a:ea typeface="Cambria Math"/>
                              </a:rPr>
                              <m:t>)</m:t>
                            </m:r>
                          </m:den>
                        </m:f>
                      </m:e>
                    </m:d>
                  </m:oMath>
                </m:oMathPara>
              </a14:m>
              <a:endParaRPr lang="pt-BR" sz="1100"/>
            </a:p>
          </xdr:txBody>
        </xdr:sp>
      </mc:Choice>
      <mc:Fallback xmlns="">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323849" y="9591675"/>
              <a:ext cx="5200651" cy="67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𝑦</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 𝑔</a:t>
              </a:r>
              <a:r>
                <a:rPr lang="pt-BR" sz="1100" b="0" i="0">
                  <a:latin typeface="Cambria Math" panose="02040503050406030204" pitchFamily="18" charset="0"/>
                  <a:ea typeface="Cambria Math"/>
                </a:rPr>
                <a:t>)/(</a:t>
              </a:r>
              <a:r>
                <a:rPr lang="pt-BR" sz="1100" b="0" i="0">
                  <a:latin typeface="Cambria Math"/>
                  <a:ea typeface="Cambria Math"/>
                </a:rPr>
                <a:t>1000 𝑚𝑔</a:t>
              </a:r>
              <a:r>
                <a:rPr lang="pt-BR" sz="1100" b="0" i="0">
                  <a:latin typeface="Cambria Math" panose="02040503050406030204" pitchFamily="18" charset="0"/>
                  <a:ea typeface="Cambria Math"/>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a:t>
              </a:r>
              <a:r>
                <a:rPr lang="pt-BR" sz="1100" b="0" i="0">
                  <a:latin typeface="Cambria Math" panose="02040503050406030204" pitchFamily="18" charset="0"/>
                  <a:ea typeface="Cambria Math"/>
                </a:rPr>
                <a:t>/(</a:t>
              </a:r>
              <a:r>
                <a:rPr lang="pt-BR" sz="1100" b="0" i="0">
                  <a:latin typeface="Cambria Math"/>
                  <a:ea typeface="Cambria Math"/>
                </a:rPr>
                <a:t>18,015 𝑔/𝑚𝑜𝑙</a:t>
              </a:r>
              <a:r>
                <a:rPr lang="pt-BR" sz="1100" b="0" i="0">
                  <a:latin typeface="Cambria Math" panose="02040503050406030204" pitchFamily="18" charset="0"/>
                  <a:ea typeface="Cambria Math"/>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8,314472</a:t>
              </a:r>
              <a:r>
                <a:rPr lang="pt-BR" sz="1100" b="0" i="0">
                  <a:solidFill>
                    <a:schemeClr val="tx1"/>
                  </a:solidFill>
                  <a:effectLst/>
                  <a:latin typeface="Cambria Math" panose="02040503050406030204" pitchFamily="18" charset="0"/>
                  <a:ea typeface="+mn-ea"/>
                  <a:cs typeface="+mn-cs"/>
                </a:rPr>
                <a:t> (〖</a:t>
              </a:r>
              <a:r>
                <a:rPr lang="pt-BR" sz="1100" b="0" i="0">
                  <a:solidFill>
                    <a:schemeClr val="tx1"/>
                  </a:solidFill>
                  <a:effectLst/>
                  <a:latin typeface="Cambria Math"/>
                  <a:ea typeface="+mn-ea"/>
                  <a:cs typeface="+mn-cs"/>
                </a:rPr>
                <a:t> 𝑚</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3</a:t>
              </a:r>
              <a:r>
                <a:rPr lang="pt-BR" sz="1100" b="0" i="0">
                  <a:solidFill>
                    <a:schemeClr val="tx1"/>
                  </a:solidFill>
                  <a:effectLst/>
                  <a:latin typeface="Cambria Math"/>
                  <a:ea typeface="Cambria Math"/>
                  <a:cs typeface="+mn-cs"/>
                </a:rPr>
                <a:t>∙</a:t>
              </a:r>
              <a:r>
                <a:rPr lang="pt-BR" sz="1100" b="0" i="0">
                  <a:solidFill>
                    <a:schemeClr val="tx1"/>
                  </a:solidFill>
                  <a:effectLst/>
                  <a:latin typeface="Cambria Math"/>
                  <a:ea typeface="+mn-ea"/>
                  <a:cs typeface="+mn-cs"/>
                </a:rPr>
                <a:t>𝑃𝑎</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𝐾</a:t>
              </a:r>
              <a:r>
                <a:rPr lang="pt-BR" sz="1100" b="0" i="0">
                  <a:solidFill>
                    <a:schemeClr val="tx1"/>
                  </a:solidFill>
                  <a:effectLst/>
                  <a:latin typeface="Cambria Math"/>
                  <a:ea typeface="Cambria Math"/>
                  <a:cs typeface="+mn-cs"/>
                </a:rPr>
                <a:t>∙𝑚𝑜𝑙</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panose="02040503050406030204" pitchFamily="18" charset="0"/>
                  <a:ea typeface="Cambria Math"/>
                  <a:cs typeface="+mn-cs"/>
                </a:rPr>
                <a:t>)</a:t>
              </a:r>
              <a:r>
                <a:rPr lang="pt-BR" sz="1100" b="0" i="0">
                  <a:solidFill>
                    <a:schemeClr val="tx1"/>
                  </a:solidFill>
                  <a:effectLst/>
                  <a:latin typeface="Cambria Math"/>
                  <a:ea typeface="+mn-ea"/>
                  <a:cs typeface="+mn-cs"/>
                </a:rPr>
                <a:t>∙(288,15 𝐾)</a:t>
              </a:r>
              <a:r>
                <a:rPr lang="pt-BR" sz="1100" b="0" i="0">
                  <a:solidFill>
                    <a:schemeClr val="tx1"/>
                  </a:solidFill>
                  <a:effectLst/>
                  <a:latin typeface="Cambria Math" panose="02040503050406030204" pitchFamily="18" charset="0"/>
                  <a:ea typeface="Cambria Math"/>
                  <a:cs typeface="+mn-cs"/>
                </a:rPr>
                <a:t>)/(</a:t>
              </a:r>
              <a:r>
                <a:rPr lang="pt-BR" sz="1100" b="0" i="0">
                  <a:latin typeface="Cambria Math"/>
                  <a:ea typeface="Cambria Math"/>
                </a:rPr>
                <a:t>(101325 𝑃𝑎)</a:t>
              </a:r>
              <a:r>
                <a:rPr lang="pt-BR" sz="1100" b="0" i="0">
                  <a:latin typeface="Cambria Math" panose="02040503050406030204" pitchFamily="18" charset="0"/>
                  <a:ea typeface="Cambria Math"/>
                </a:rPr>
                <a:t>)]</a:t>
              </a:r>
              <a:endParaRPr lang="pt-BR" sz="1100"/>
            </a:p>
          </xdr:txBody>
        </xdr:sp>
      </mc:Fallback>
    </mc:AlternateContent>
    <xdr:clientData/>
  </xdr:oneCellAnchor>
  <xdr:oneCellAnchor>
    <xdr:from>
      <xdr:col>0</xdr:col>
      <xdr:colOff>85725</xdr:colOff>
      <xdr:row>55</xdr:row>
      <xdr:rowOff>133350</xdr:rowOff>
    </xdr:from>
    <xdr:ext cx="5200651" cy="472694"/>
    <mc:AlternateContent xmlns:mc="http://schemas.openxmlformats.org/markup-compatibility/2006" xmlns:a14="http://schemas.microsoft.com/office/drawing/2010/main">
      <mc:Choice Requires="a14">
        <xdr:sp macro="" textlink="">
          <xdr:nvSpPr>
            <xdr:cNvPr id="4" name="CaixaDeTexto 3">
              <a:extLst>
                <a:ext uri="{FF2B5EF4-FFF2-40B4-BE49-F238E27FC236}">
                  <a16:creationId xmlns:a16="http://schemas.microsoft.com/office/drawing/2014/main" id="{00000000-0008-0000-0300-000004000000}"/>
                </a:ext>
              </a:extLst>
            </xdr:cNvPr>
            <xdr:cNvSpPr txBox="1"/>
          </xdr:nvSpPr>
          <xdr:spPr>
            <a:xfrm>
              <a:off x="85725" y="10325100"/>
              <a:ext cx="5200651"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𝑦</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sSub>
                      <m:sSubPr>
                        <m:ctrlPr>
                          <a:rPr lang="pt-BR" sz="1100" b="0" i="1">
                            <a:latin typeface="Cambria Math" panose="02040503050406030204" pitchFamily="18" charset="0"/>
                          </a:rPr>
                        </m:ctrlPr>
                      </m:sSubPr>
                      <m:e>
                        <m:r>
                          <a:rPr lang="pt-BR" sz="1100" b="0" i="1">
                            <a:latin typeface="Cambria Math"/>
                          </a:rPr>
                          <m:t>𝑤</m:t>
                        </m:r>
                      </m:e>
                      <m:sub>
                        <m:sSub>
                          <m:sSubPr>
                            <m:ctrlPr>
                              <a:rPr lang="pt-BR" sz="1100" b="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m:t>
                            </m:r>
                          </m:num>
                          <m:den>
                            <m:r>
                              <a:rPr lang="pt-BR" sz="1100" b="0" i="1">
                                <a:latin typeface="Cambria Math"/>
                                <a:ea typeface="Cambria Math"/>
                              </a:rPr>
                              <m:t>761899 </m:t>
                            </m:r>
                            <m:r>
                              <a:rPr lang="pt-BR" sz="1100" b="0" i="1">
                                <a:latin typeface="Cambria Math"/>
                                <a:ea typeface="Cambria Math"/>
                              </a:rPr>
                              <m:t>𝑚𝑔</m:t>
                            </m:r>
                            <m:r>
                              <a:rPr lang="pt-BR" sz="1100" b="0" i="1">
                                <a:latin typeface="Cambria Math"/>
                                <a:ea typeface="Cambria Math"/>
                              </a:rPr>
                              <m:t>/</m:t>
                            </m:r>
                            <m:r>
                              <a:rPr lang="pt-BR" sz="1100" b="0" i="1">
                                <a:latin typeface="Cambria Math"/>
                                <a:ea typeface="Cambria Math"/>
                              </a:rPr>
                              <m:t>𝑚</m:t>
                            </m:r>
                            <m:r>
                              <a:rPr lang="pt-BR" sz="1100" b="0" i="1">
                                <a:latin typeface="Cambria Math"/>
                                <a:ea typeface="Cambria Math"/>
                              </a:rPr>
                              <m:t>³</m:t>
                            </m:r>
                          </m:den>
                        </m:f>
                      </m:e>
                    </m:d>
                  </m:oMath>
                </m:oMathPara>
              </a14:m>
              <a:endParaRPr lang="pt-BR" sz="1100"/>
            </a:p>
          </xdr:txBody>
        </xdr:sp>
      </mc:Choice>
      <mc:Fallback xmlns="">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85725" y="10325100"/>
              <a:ext cx="5200651"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𝑦</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a:t>
              </a:r>
              <a:r>
                <a:rPr lang="pt-BR" sz="1100" b="0" i="0">
                  <a:latin typeface="Cambria Math" panose="02040503050406030204" pitchFamily="18" charset="0"/>
                  <a:ea typeface="Cambria Math"/>
                </a:rPr>
                <a:t>/(</a:t>
              </a:r>
              <a:r>
                <a:rPr lang="pt-BR" sz="1100" b="0" i="0">
                  <a:latin typeface="Cambria Math"/>
                  <a:ea typeface="Cambria Math"/>
                </a:rPr>
                <a:t>761899 𝑚𝑔/𝑚³</a:t>
              </a:r>
              <a:r>
                <a:rPr lang="pt-BR" sz="1100" b="0" i="0">
                  <a:latin typeface="Cambria Math" panose="02040503050406030204" pitchFamily="18" charset="0"/>
                  <a:ea typeface="Cambria Math"/>
                </a:rPr>
                <a:t>))</a:t>
              </a:r>
              <a:endParaRPr lang="pt-BR" sz="1100"/>
            </a:p>
          </xdr:txBody>
        </xdr:sp>
      </mc:Fallback>
    </mc:AlternateContent>
    <xdr:clientData/>
  </xdr:oneCellAnchor>
  <xdr:twoCellAnchor>
    <xdr:from>
      <xdr:col>0</xdr:col>
      <xdr:colOff>266700</xdr:colOff>
      <xdr:row>67</xdr:row>
      <xdr:rowOff>142874</xdr:rowOff>
    </xdr:from>
    <xdr:to>
      <xdr:col>9</xdr:col>
      <xdr:colOff>600075</xdr:colOff>
      <xdr:row>86</xdr:row>
      <xdr:rowOff>180976</xdr:rowOff>
    </xdr:to>
    <xdr:graphicFrame macro="">
      <xdr:nvGraphicFramePr>
        <xdr:cNvPr id="5" name="Gráfico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xdr:col>
      <xdr:colOff>38100</xdr:colOff>
      <xdr:row>9</xdr:row>
      <xdr:rowOff>19050</xdr:rowOff>
    </xdr:from>
    <xdr:to>
      <xdr:col>15</xdr:col>
      <xdr:colOff>95250</xdr:colOff>
      <xdr:row>14</xdr:row>
      <xdr:rowOff>9525</xdr:rowOff>
    </xdr:to>
    <xdr:cxnSp macro="">
      <xdr:nvCxnSpPr>
        <xdr:cNvPr id="2" name="Conector de Seta Reta 1">
          <a:extLst>
            <a:ext uri="{FF2B5EF4-FFF2-40B4-BE49-F238E27FC236}">
              <a16:creationId xmlns:a16="http://schemas.microsoft.com/office/drawing/2014/main" id="{94A49678-14C4-403D-91FB-18580CE437B8}"/>
            </a:ext>
          </a:extLst>
        </xdr:cNvPr>
        <xdr:cNvCxnSpPr/>
      </xdr:nvCxnSpPr>
      <xdr:spPr>
        <a:xfrm flipH="1" flipV="1">
          <a:off x="1943100" y="421640"/>
          <a:ext cx="59690" cy="208915"/>
        </a:xfrm>
        <a:prstGeom prst="straightConnector1">
          <a:avLst/>
        </a:prstGeom>
        <a:ln w="190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14286</xdr:colOff>
      <xdr:row>128</xdr:row>
      <xdr:rowOff>4</xdr:rowOff>
    </xdr:from>
    <xdr:to>
      <xdr:col>17</xdr:col>
      <xdr:colOff>66674</xdr:colOff>
      <xdr:row>131</xdr:row>
      <xdr:rowOff>14289</xdr:rowOff>
    </xdr:to>
    <xdr:sp macro="" textlink="">
      <xdr:nvSpPr>
        <xdr:cNvPr id="3" name="Chave Direita 2">
          <a:extLst>
            <a:ext uri="{FF2B5EF4-FFF2-40B4-BE49-F238E27FC236}">
              <a16:creationId xmlns:a16="http://schemas.microsoft.com/office/drawing/2014/main" id="{9A862F4D-2508-4D4F-BE0F-874D1D9F2411}"/>
            </a:ext>
          </a:extLst>
        </xdr:cNvPr>
        <xdr:cNvSpPr/>
      </xdr:nvSpPr>
      <xdr:spPr>
        <a:xfrm rot="5400000">
          <a:off x="1173797" y="4781553"/>
          <a:ext cx="145095" cy="1961198"/>
        </a:xfrm>
        <a:prstGeom prst="rightBrace">
          <a:avLst>
            <a:gd name="adj1" fmla="val 0"/>
            <a:gd name="adj2" fmla="val 50000"/>
          </a:avLst>
        </a:prstGeom>
        <a:ln w="19050">
          <a:solidFill>
            <a:srgbClr val="C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pt-BR" sz="1100">
            <a:solidFill>
              <a:srgbClr val="C00000"/>
            </a:solidFill>
          </a:endParaRPr>
        </a:p>
      </xdr:txBody>
    </xdr:sp>
    <xdr:clientData/>
  </xdr:twoCellAnchor>
  <xdr:twoCellAnchor>
    <xdr:from>
      <xdr:col>7</xdr:col>
      <xdr:colOff>19050</xdr:colOff>
      <xdr:row>130</xdr:row>
      <xdr:rowOff>9525</xdr:rowOff>
    </xdr:from>
    <xdr:to>
      <xdr:col>13</xdr:col>
      <xdr:colOff>66675</xdr:colOff>
      <xdr:row>135</xdr:row>
      <xdr:rowOff>19050</xdr:rowOff>
    </xdr:to>
    <xdr:sp macro="" textlink="">
      <xdr:nvSpPr>
        <xdr:cNvPr id="4" name="CaixaDeTexto 3">
          <a:extLst>
            <a:ext uri="{FF2B5EF4-FFF2-40B4-BE49-F238E27FC236}">
              <a16:creationId xmlns:a16="http://schemas.microsoft.com/office/drawing/2014/main" id="{35008A65-E2C4-4A5D-A996-3AD55F05D495}"/>
            </a:ext>
          </a:extLst>
        </xdr:cNvPr>
        <xdr:cNvSpPr txBox="1"/>
      </xdr:nvSpPr>
      <xdr:spPr>
        <a:xfrm>
          <a:off x="910590" y="5786755"/>
          <a:ext cx="808355" cy="2355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C00000"/>
              </a:solidFill>
            </a:rPr>
            <a:t>Checar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etrobrasbr-my.sharepoint.com/UN-ES_ATP-JUB-CHT_OP-P-57/NP-2/Medicao/08%20-%20Teste%20de%20Poco/7-JUB-19/BTP%20098%20JUB-19%2019.06.2020%20-%20NovoTeorVaporDagua_N&#227;o%20concusivo.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DVMR\Offline_Cesar\BTP_Offline_Cesar\Validador%20de%20Teste%20de%20Produ&#231;&#227;o%20-%2030-01-24.xlsm" TargetMode="External"/><Relationship Id="rId1" Type="http://schemas.openxmlformats.org/officeDocument/2006/relationships/externalLinkPath" Target="file:///C:\Users\DVMR\Offline_Cesar\BTP_Offline_Cesar\Validador%20de%20Teste%20de%20Produ&#231;&#227;o%20-%2030-01-2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bero\OneDrive%20-%20PETROBRAS\&#193;rea%20de%20Trabalho\Planilha%20de%20Ajuste%20de%20Frequ&#234;ncia_PAF_v29.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TP"/>
      <sheetName val="Tutorial"/>
      <sheetName val="Plan1"/>
      <sheetName val="vaporH2O"/>
      <sheetName val="BTP 098 JUB-19 19.06"/>
    </sheetNames>
    <sheetDataSet>
      <sheetData sheetId="0"/>
      <sheetData sheetId="1"/>
      <sheetData sheetId="2"/>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alidador"/>
      <sheetName val="Divulgador"/>
      <sheetName val="Dados de Poços"/>
      <sheetName val="Controle Prod. UEP"/>
      <sheetName val="Lista de Distribuição Email"/>
      <sheetName val="Lista Original Distrib."/>
      <sheetName val="Dados_Injetores"/>
      <sheetName val="Leviatã"/>
      <sheetName val="Motivos Altera Pot."/>
      <sheetName val="Mascara_SIP"/>
    </sheetNames>
    <sheetDataSet>
      <sheetData sheetId="0"/>
      <sheetData sheetId="1">
        <row r="1">
          <cell r="B1" t="str">
            <v>7-JUB-27</v>
          </cell>
        </row>
        <row r="8">
          <cell r="C8">
            <v>109</v>
          </cell>
          <cell r="D8" t="str">
            <v>MOBO/SKID/BCSS</v>
          </cell>
          <cell r="J8" t="str">
            <v>BTP</v>
          </cell>
          <cell r="N8" t="str">
            <v>MNE</v>
          </cell>
          <cell r="P8">
            <v>276</v>
          </cell>
          <cell r="Q8">
            <v>272.68360000000001</v>
          </cell>
          <cell r="R8">
            <v>178.25112999999999</v>
          </cell>
          <cell r="S8">
            <v>247.6754</v>
          </cell>
          <cell r="AC8">
            <v>0</v>
          </cell>
          <cell r="AD8">
            <v>64.489999999999995</v>
          </cell>
          <cell r="AH8">
            <v>89.94</v>
          </cell>
          <cell r="AJ8">
            <v>228.44</v>
          </cell>
          <cell r="AT8">
            <v>33.35</v>
          </cell>
          <cell r="BU8">
            <v>194.79</v>
          </cell>
          <cell r="CB8">
            <v>228.44</v>
          </cell>
          <cell r="CD8">
            <v>83.6</v>
          </cell>
          <cell r="CJ8">
            <v>33.35</v>
          </cell>
          <cell r="CL8">
            <v>0</v>
          </cell>
          <cell r="CP8">
            <v>81.66</v>
          </cell>
          <cell r="CR8">
            <v>194.79</v>
          </cell>
          <cell r="CT8">
            <v>55</v>
          </cell>
          <cell r="CU8">
            <v>247.68</v>
          </cell>
          <cell r="DE8">
            <v>0</v>
          </cell>
          <cell r="DN8" t="str">
            <v>MOBO/Skid/BCSS</v>
          </cell>
          <cell r="DS8">
            <v>4457.74</v>
          </cell>
          <cell r="DT8">
            <v>448.48</v>
          </cell>
          <cell r="EL8" t="str">
            <v>Gás Lift
P.inj UEP</v>
          </cell>
        </row>
        <row r="10">
          <cell r="EH10" t="str">
            <v>barg</v>
          </cell>
          <cell r="EI10" t="str">
            <v>barg</v>
          </cell>
          <cell r="EJ10" t="str">
            <v>barg</v>
          </cell>
          <cell r="EK10" t="str">
            <v>barg</v>
          </cell>
          <cell r="EL10" t="str">
            <v>barg</v>
          </cell>
          <cell r="EO10" t="str">
            <v>barg</v>
          </cell>
          <cell r="EP10" t="str">
            <v>barg</v>
          </cell>
        </row>
        <row r="11">
          <cell r="ED11" t="str">
            <v>7-JUB-27</v>
          </cell>
          <cell r="EQ11">
            <v>89.94</v>
          </cell>
          <cell r="ER11">
            <v>64.489999999999995</v>
          </cell>
          <cell r="ES11">
            <v>4457.74</v>
          </cell>
          <cell r="ET11">
            <v>448.48</v>
          </cell>
        </row>
        <row r="15">
          <cell r="EH15" t="str">
            <v>barg</v>
          </cell>
          <cell r="EI15" t="str">
            <v>barg</v>
          </cell>
          <cell r="EJ15" t="str">
            <v>m³/d / barg</v>
          </cell>
          <cell r="EK15" t="str">
            <v>barg</v>
          </cell>
          <cell r="EL15" t="str">
            <v>barg</v>
          </cell>
        </row>
        <row r="16">
          <cell r="EI16">
            <v>267.41126259399999</v>
          </cell>
          <cell r="EL16">
            <v>242.88659614100001</v>
          </cell>
        </row>
        <row r="21">
          <cell r="EE21">
            <v>4524.2416652730808</v>
          </cell>
          <cell r="EG21">
            <v>4457.74</v>
          </cell>
          <cell r="EK21">
            <v>447.89999389648438</v>
          </cell>
          <cell r="EM21">
            <v>448.48</v>
          </cell>
        </row>
      </sheetData>
      <sheetData sheetId="2"/>
      <sheetData sheetId="3"/>
      <sheetData sheetId="4"/>
      <sheetData sheetId="5"/>
      <sheetData sheetId="6"/>
      <sheetData sheetId="7">
        <row r="6">
          <cell r="L6">
            <v>149.88436000111096</v>
          </cell>
        </row>
      </sheetData>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ualizações Recentes"/>
      <sheetName val="PAF"/>
      <sheetName val="Efetivo"/>
      <sheetName val="Exemplos PAF"/>
      <sheetName val="Consulta de Ocorrências"/>
      <sheetName val="Consulta Motivos de Ocorrências"/>
      <sheetName val="Orientações Complementares"/>
      <sheetName val="Planilha2"/>
      <sheetName val="Planilha2 (Backup)"/>
      <sheetName val="Listas "/>
      <sheetName val="Planilha de Ajuste de Frequênci"/>
    </sheetNames>
    <sheetDataSet>
      <sheetData sheetId="0" refreshError="1"/>
      <sheetData sheetId="1"/>
      <sheetData sheetId="2"/>
      <sheetData sheetId="3" refreshError="1"/>
      <sheetData sheetId="4">
        <row r="8">
          <cell r="E8" t="str">
            <v>001 - Sobreaviso Parcial</v>
          </cell>
        </row>
      </sheetData>
      <sheetData sheetId="5" refreshError="1"/>
      <sheetData sheetId="6" refreshError="1"/>
      <sheetData sheetId="7"/>
      <sheetData sheetId="8" refreshError="1"/>
      <sheetData sheetId="9" refreshError="1"/>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a2" displayName="Lista2" ref="B3:B21" totalsRowShown="0" headerRowDxfId="36" dataDxfId="34" headerRowBorderDxfId="35" tableBorderDxfId="33" totalsRowBorderDxfId="32">
  <autoFilter ref="B3:B21" xr:uid="{00000000-0009-0000-0100-000001000000}"/>
  <tableColumns count="1">
    <tableColumn id="1" xr3:uid="{00000000-0010-0000-0000-000001000000}" name="POÇOS" dataDxfId="3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Lista1" displayName="Lista1" ref="G3:V21" insertRowShift="1" totalsRowShown="0" headerRowDxfId="30" dataDxfId="28" headerRowBorderDxfId="29" tableBorderDxfId="27" totalsRowBorderDxfId="26">
  <autoFilter ref="G3:V21" xr:uid="{00000000-0009-0000-0100-000003000000}"/>
  <tableColumns count="16">
    <tableColumn id="1" xr3:uid="{00000000-0010-0000-0100-000001000000}" name="POÇOS" dataDxfId="25"/>
    <tableColumn id="2" xr3:uid="{00000000-0010-0000-0100-000002000000}" name="LDA" dataDxfId="24"/>
    <tableColumn id="3" xr3:uid="{00000000-0010-0000-0100-000003000000}" name="X" dataDxfId="23"/>
    <tableColumn id="4" xr3:uid="{00000000-0010-0000-0100-000004000000}" name="Y" dataDxfId="22"/>
    <tableColumn id="5" xr3:uid="{00000000-0010-0000-0100-000005000000}" name="AZIMUTE" dataDxfId="21"/>
    <tableColumn id="6" xr3:uid="{00000000-0010-0000-0100-000006000000}" name="INÍCIO PROD" dataDxfId="20"/>
    <tableColumn id="7" xr3:uid="{00000000-0010-0000-0100-000007000000}" name="COMP SRV (m)" dataDxfId="19"/>
    <tableColumn id="9" xr3:uid="{00000000-0010-0000-0100-000009000000}" name="VOL SERV (m³)" dataDxfId="18"/>
    <tableColumn id="8" xr3:uid="{00000000-0010-0000-0100-000008000000}" name="COMP PROD (m)" dataDxfId="17"/>
    <tableColumn id="10" xr3:uid="{00000000-0010-0000-0100-00000A000000}" name="VOL PROD (m³)" dataDxfId="16"/>
    <tableColumn id="11" xr3:uid="{00000000-0010-0000-0100-00000B000000}" name="COMP TOTAL" dataDxfId="15">
      <calculatedColumnFormula>O4+M4</calculatedColumnFormula>
    </tableColumn>
    <tableColumn id="12" xr3:uid="{00000000-0010-0000-0100-00000C000000}" name="VOL TOTAL (m³)" dataDxfId="14">
      <calculatedColumnFormula>P4+N4</calculatedColumnFormula>
    </tableColumn>
    <tableColumn id="15" xr3:uid="{00000000-0010-0000-0100-00000F000000}" name="COMP MOBO" dataDxfId="13"/>
    <tableColumn id="14" xr3:uid="{00000000-0010-0000-0100-00000E000000}" name="VOL MOBO" dataDxfId="12"/>
    <tableColumn id="13" xr3:uid="{00000000-0010-0000-0100-00000D000000}" name="Campo" dataDxfId="11"/>
    <tableColumn id="16" xr3:uid="{00000000-0010-0000-0100-000010000000}" name="POÇOS2" dataDxfId="1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image" Target="../media/image3.jpeg"/></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F2B4-0E8F-41C5-8F06-CCE379C33A2F}">
  <sheetPr codeName="Plan4">
    <pageSetUpPr autoPageBreaks="0" fitToPage="1"/>
  </sheetPr>
  <dimension ref="B2:BS104"/>
  <sheetViews>
    <sheetView showGridLines="0" tabSelected="1" topLeftCell="A22" zoomScale="85" zoomScaleNormal="85" workbookViewId="0">
      <selection activeCell="D29" sqref="D29"/>
    </sheetView>
  </sheetViews>
  <sheetFormatPr defaultColWidth="9.109375" defaultRowHeight="13.2" x14ac:dyDescent="0.25"/>
  <cols>
    <col min="1" max="1" width="2.6640625" style="5" customWidth="1"/>
    <col min="2" max="2" width="10.6640625" style="5" customWidth="1"/>
    <col min="3" max="3" width="15.44140625" style="5" customWidth="1"/>
    <col min="4" max="9" width="14.33203125" style="5" customWidth="1"/>
    <col min="10" max="10" width="16.109375" style="5" customWidth="1"/>
    <col min="11" max="11" width="20.44140625" style="5" customWidth="1"/>
    <col min="12" max="12" width="15.6640625" style="5" customWidth="1"/>
    <col min="13" max="13" width="19.33203125" style="5" customWidth="1"/>
    <col min="14" max="19" width="10.6640625" style="5" customWidth="1"/>
    <col min="20" max="20" width="21.33203125" style="5" customWidth="1"/>
    <col min="21" max="21" width="15.33203125" style="5" bestFit="1" customWidth="1"/>
    <col min="22" max="23" width="10.6640625" style="5" customWidth="1"/>
    <col min="24" max="24" width="12.44140625" style="5" customWidth="1"/>
    <col min="25" max="25" width="17.44140625" style="5" customWidth="1"/>
    <col min="26" max="28" width="10.6640625" style="5" customWidth="1"/>
    <col min="29" max="29" width="18.109375" style="5" customWidth="1"/>
    <col min="30" max="30" width="14.109375" style="5" customWidth="1"/>
    <col min="31" max="32" width="10.6640625" style="5" customWidth="1"/>
    <col min="33" max="33" width="15.5546875" style="5" customWidth="1"/>
    <col min="34" max="34" width="17" style="5" bestFit="1" customWidth="1"/>
    <col min="35" max="35" width="20.44140625" style="5" customWidth="1"/>
    <col min="36" max="36" width="10.6640625" style="5" customWidth="1"/>
    <col min="37" max="37" width="18" style="5" bestFit="1" customWidth="1"/>
    <col min="38" max="41" width="10.6640625" style="5" customWidth="1"/>
    <col min="42" max="42" width="16" style="5" customWidth="1"/>
    <col min="43" max="44" width="10.6640625" style="5" customWidth="1"/>
    <col min="45" max="45" width="12.5546875" style="5" customWidth="1"/>
    <col min="46" max="46" width="13.88671875" style="5" customWidth="1"/>
    <col min="47" max="48" width="10.6640625" style="5" customWidth="1"/>
    <col min="49" max="49" width="15.109375" style="5" bestFit="1" customWidth="1"/>
    <col min="50" max="64" width="10.6640625" style="5" customWidth="1"/>
    <col min="65" max="65" width="15.44140625" style="5" customWidth="1"/>
    <col min="66" max="71" width="10.6640625" style="5" customWidth="1"/>
    <col min="72" max="16384" width="9.109375" style="5"/>
  </cols>
  <sheetData>
    <row r="2" spans="2:71" ht="44.25" customHeight="1" x14ac:dyDescent="0.25">
      <c r="B2" s="353" t="s">
        <v>0</v>
      </c>
      <c r="C2" s="353"/>
      <c r="D2" s="353"/>
      <c r="E2" s="353"/>
      <c r="F2" s="353"/>
      <c r="G2" s="353"/>
      <c r="H2" s="353"/>
      <c r="I2" s="353"/>
      <c r="J2" s="353"/>
      <c r="K2" s="353"/>
      <c r="L2" s="353"/>
      <c r="M2" s="353"/>
      <c r="N2" s="353"/>
      <c r="O2" s="353"/>
      <c r="P2" s="353"/>
      <c r="Q2" s="353"/>
      <c r="R2" s="353"/>
      <c r="S2" s="353"/>
      <c r="T2" s="353"/>
      <c r="U2" s="353"/>
      <c r="V2" s="353"/>
      <c r="W2" s="353"/>
      <c r="X2" s="353"/>
      <c r="Y2" s="353"/>
      <c r="Z2" s="353"/>
      <c r="AA2" s="353"/>
      <c r="AB2" s="353"/>
      <c r="AC2" s="353"/>
      <c r="AD2" s="353"/>
      <c r="AE2" s="353"/>
      <c r="AF2" s="353"/>
      <c r="AG2" s="353"/>
      <c r="AH2" s="353"/>
      <c r="AI2" s="353"/>
      <c r="AJ2" s="353"/>
      <c r="AK2" s="353"/>
      <c r="AL2" s="353"/>
      <c r="AM2" s="353"/>
      <c r="AN2" s="353"/>
      <c r="AO2" s="353"/>
      <c r="AP2" s="353"/>
      <c r="AQ2" s="353"/>
      <c r="AR2" s="353"/>
      <c r="AS2" s="353"/>
      <c r="AT2" s="353"/>
      <c r="AU2" s="353"/>
      <c r="AV2" s="353"/>
      <c r="AW2" s="353"/>
      <c r="AX2" s="353"/>
      <c r="AY2" s="353"/>
      <c r="AZ2" s="353"/>
      <c r="BA2" s="353"/>
      <c r="BB2" s="353"/>
      <c r="BC2" s="353"/>
      <c r="BD2" s="353"/>
      <c r="BE2" s="353"/>
      <c r="BF2" s="353"/>
      <c r="BG2" s="353"/>
      <c r="BH2" s="353"/>
      <c r="BI2" s="353"/>
      <c r="BJ2" s="353"/>
      <c r="BK2" s="353"/>
      <c r="BL2" s="353"/>
      <c r="BM2" s="353"/>
      <c r="BN2" s="353"/>
      <c r="BO2" s="353"/>
      <c r="BP2" s="353"/>
      <c r="BQ2" s="353"/>
      <c r="BR2" s="353"/>
      <c r="BS2" s="353"/>
    </row>
    <row r="3" spans="2:71" x14ac:dyDescent="0.25">
      <c r="AO3" s="5">
        <v>0</v>
      </c>
    </row>
    <row r="4" spans="2:71" ht="22.5" customHeight="1" x14ac:dyDescent="0.25">
      <c r="B4" s="409" t="s">
        <v>1</v>
      </c>
      <c r="C4" s="410"/>
      <c r="D4" s="410"/>
      <c r="E4" s="410"/>
      <c r="F4" s="410"/>
      <c r="G4" s="411"/>
      <c r="I4" s="308" t="s">
        <v>2</v>
      </c>
      <c r="J4" s="308"/>
      <c r="K4" s="308"/>
      <c r="L4" s="308"/>
      <c r="M4" s="308"/>
      <c r="N4" s="308"/>
      <c r="O4" s="308"/>
      <c r="P4" s="308"/>
      <c r="R4" s="330" t="s">
        <v>3</v>
      </c>
      <c r="S4" s="331"/>
      <c r="T4" s="331"/>
      <c r="U4" s="331"/>
      <c r="V4" s="331"/>
      <c r="W4" s="331"/>
      <c r="X4" s="331"/>
      <c r="Y4" s="331"/>
      <c r="Z4" s="331"/>
      <c r="AA4" s="331"/>
      <c r="AB4" s="331"/>
      <c r="AC4" s="331"/>
      <c r="AD4" s="331"/>
      <c r="AE4" s="331"/>
      <c r="AF4" s="331"/>
      <c r="AG4" s="331"/>
      <c r="AH4" s="332"/>
      <c r="AK4" s="377" t="s">
        <v>4</v>
      </c>
      <c r="AL4" s="378"/>
      <c r="AM4" s="378"/>
      <c r="AN4" s="378"/>
      <c r="AO4" s="378"/>
      <c r="AP4" s="378"/>
      <c r="AQ4" s="378"/>
      <c r="AR4" s="378"/>
      <c r="AS4" s="378"/>
      <c r="AT4" s="378"/>
      <c r="AU4" s="378"/>
      <c r="AV4" s="378"/>
      <c r="AW4" s="378"/>
      <c r="AX4" s="378"/>
      <c r="AY4" s="378"/>
      <c r="AZ4" s="378"/>
      <c r="BA4" s="378"/>
      <c r="BB4" s="378"/>
      <c r="BC4" s="378"/>
      <c r="BD4" s="378"/>
      <c r="BE4" s="378"/>
      <c r="BF4" s="378"/>
      <c r="BG4" s="378"/>
      <c r="BH4" s="378"/>
      <c r="BI4" s="378"/>
      <c r="BJ4" s="378"/>
      <c r="BK4" s="378"/>
      <c r="BL4" s="378"/>
      <c r="BM4" s="378"/>
      <c r="BN4" s="378"/>
      <c r="BO4" s="378"/>
      <c r="BP4" s="378"/>
      <c r="BQ4" s="378"/>
      <c r="BR4" s="378"/>
      <c r="BS4" s="379"/>
    </row>
    <row r="5" spans="2:71" ht="22.5" customHeight="1" x14ac:dyDescent="0.25">
      <c r="B5" s="412"/>
      <c r="C5" s="413"/>
      <c r="D5" s="413"/>
      <c r="E5" s="413"/>
      <c r="F5" s="413"/>
      <c r="G5" s="414"/>
      <c r="I5" s="357" t="s">
        <v>5</v>
      </c>
      <c r="J5" s="357"/>
      <c r="K5" s="357"/>
      <c r="L5" s="357"/>
      <c r="M5" s="380">
        <v>45311.375</v>
      </c>
      <c r="N5" s="380"/>
      <c r="O5" s="380"/>
      <c r="P5" s="380"/>
      <c r="Q5" s="52"/>
      <c r="R5" s="357" t="s">
        <v>6</v>
      </c>
      <c r="S5" s="357"/>
      <c r="T5" s="357"/>
      <c r="U5" s="357"/>
      <c r="V5" s="357"/>
      <c r="W5" s="357"/>
      <c r="X5" s="357"/>
      <c r="Y5" s="382" t="s">
        <v>1099</v>
      </c>
      <c r="Z5" s="383"/>
      <c r="AA5" s="357" t="s">
        <v>7</v>
      </c>
      <c r="AB5" s="357"/>
      <c r="AC5" s="357"/>
      <c r="AD5" s="245">
        <v>0.67</v>
      </c>
      <c r="AE5" s="388" t="s">
        <v>8</v>
      </c>
      <c r="AF5" s="389"/>
      <c r="AG5" s="390"/>
      <c r="AH5" s="94" t="s">
        <v>9</v>
      </c>
      <c r="AO5" s="5">
        <v>0</v>
      </c>
      <c r="BK5" s="16"/>
    </row>
    <row r="6" spans="2:71" ht="22.5" customHeight="1" x14ac:dyDescent="0.25">
      <c r="B6" s="388" t="s">
        <v>10</v>
      </c>
      <c r="C6" s="389"/>
      <c r="D6" s="390"/>
      <c r="E6" s="393" t="s">
        <v>11</v>
      </c>
      <c r="F6" s="394"/>
      <c r="G6" s="395"/>
      <c r="I6" s="357" t="s">
        <v>12</v>
      </c>
      <c r="J6" s="357"/>
      <c r="K6" s="357"/>
      <c r="L6" s="357"/>
      <c r="M6" s="380">
        <f>MIN(B29:B52)-1/24</f>
        <v>45311.375</v>
      </c>
      <c r="N6" s="380"/>
      <c r="O6" s="380"/>
      <c r="P6" s="380"/>
      <c r="Q6" s="52"/>
      <c r="R6" s="357" t="s">
        <v>13</v>
      </c>
      <c r="S6" s="357"/>
      <c r="T6" s="357"/>
      <c r="U6" s="357"/>
      <c r="V6" s="357"/>
      <c r="W6" s="357"/>
      <c r="X6" s="357"/>
      <c r="Y6" s="384">
        <v>45302</v>
      </c>
      <c r="Z6" s="383"/>
      <c r="AA6" s="357" t="s">
        <v>14</v>
      </c>
      <c r="AB6" s="357"/>
      <c r="AC6" s="357"/>
      <c r="AD6" s="245" t="s">
        <v>9</v>
      </c>
      <c r="AE6" s="357" t="s">
        <v>15</v>
      </c>
      <c r="AF6" s="357"/>
      <c r="AG6" s="357"/>
      <c r="AH6" s="94" t="s">
        <v>9</v>
      </c>
      <c r="AK6" s="377" t="s">
        <v>16</v>
      </c>
      <c r="AL6" s="378"/>
      <c r="AM6" s="378"/>
      <c r="AN6" s="378"/>
      <c r="AO6" s="378"/>
      <c r="AP6" s="379"/>
      <c r="AQ6" s="55"/>
      <c r="AR6" s="377" t="s">
        <v>17</v>
      </c>
      <c r="AS6" s="378"/>
      <c r="AT6" s="378"/>
      <c r="AU6" s="378"/>
      <c r="AV6" s="378"/>
      <c r="AW6" s="378"/>
      <c r="AX6" s="379"/>
      <c r="AZ6" s="377" t="s">
        <v>18</v>
      </c>
      <c r="BA6" s="378"/>
      <c r="BB6" s="378"/>
      <c r="BC6" s="378"/>
      <c r="BD6" s="378"/>
      <c r="BE6" s="379"/>
      <c r="BG6" s="377" t="s">
        <v>19</v>
      </c>
      <c r="BH6" s="378"/>
      <c r="BI6" s="378"/>
      <c r="BJ6" s="378"/>
      <c r="BK6" s="378"/>
      <c r="BL6" s="379"/>
      <c r="BN6" s="377" t="s">
        <v>20</v>
      </c>
      <c r="BO6" s="378"/>
      <c r="BP6" s="378"/>
      <c r="BQ6" s="378"/>
      <c r="BR6" s="378"/>
      <c r="BS6" s="379"/>
    </row>
    <row r="7" spans="2:71" ht="22.5" customHeight="1" x14ac:dyDescent="0.25">
      <c r="B7" s="385" t="s">
        <v>21</v>
      </c>
      <c r="C7" s="386"/>
      <c r="D7" s="387"/>
      <c r="E7" s="396" t="s">
        <v>22</v>
      </c>
      <c r="F7" s="397"/>
      <c r="G7" s="398"/>
      <c r="I7" s="357" t="s">
        <v>23</v>
      </c>
      <c r="J7" s="357"/>
      <c r="K7" s="357"/>
      <c r="L7" s="357"/>
      <c r="M7" s="601">
        <f>MAX(B29:B52)</f>
        <v>45311.791666666642</v>
      </c>
      <c r="N7" s="380"/>
      <c r="O7" s="380"/>
      <c r="P7" s="380"/>
      <c r="Q7" s="52"/>
      <c r="R7" s="357" t="s">
        <v>24</v>
      </c>
      <c r="S7" s="357"/>
      <c r="T7" s="357"/>
      <c r="U7" s="357"/>
      <c r="V7" s="357"/>
      <c r="W7" s="357"/>
      <c r="X7" s="357"/>
      <c r="Y7" s="382" t="s">
        <v>1097</v>
      </c>
      <c r="Z7" s="383"/>
      <c r="AA7" s="357" t="s">
        <v>25</v>
      </c>
      <c r="AB7" s="357"/>
      <c r="AC7" s="357"/>
      <c r="AD7" s="246">
        <v>157305</v>
      </c>
      <c r="AE7" s="388" t="s">
        <v>26</v>
      </c>
      <c r="AF7" s="389"/>
      <c r="AG7" s="390"/>
      <c r="AH7" s="247">
        <v>949.1</v>
      </c>
      <c r="AK7" s="371" t="s">
        <v>27</v>
      </c>
      <c r="AL7" s="372"/>
      <c r="AM7" s="372"/>
      <c r="AN7" s="373"/>
      <c r="AO7" s="405" t="s">
        <v>28</v>
      </c>
      <c r="AP7" s="370"/>
      <c r="AR7" s="371" t="s">
        <v>29</v>
      </c>
      <c r="AS7" s="372"/>
      <c r="AT7" s="372"/>
      <c r="AU7" s="372"/>
      <c r="AV7" s="373"/>
      <c r="AW7" s="360" t="s">
        <v>30</v>
      </c>
      <c r="AX7" s="370"/>
      <c r="AZ7" s="371" t="s">
        <v>31</v>
      </c>
      <c r="BA7" s="372"/>
      <c r="BB7" s="372"/>
      <c r="BC7" s="373"/>
      <c r="BD7" s="360" t="s">
        <v>32</v>
      </c>
      <c r="BE7" s="361"/>
      <c r="BG7" s="371" t="s">
        <v>33</v>
      </c>
      <c r="BH7" s="372"/>
      <c r="BI7" s="372"/>
      <c r="BJ7" s="373"/>
      <c r="BK7" s="360" t="s">
        <v>34</v>
      </c>
      <c r="BL7" s="361"/>
      <c r="BN7" s="371" t="s">
        <v>33</v>
      </c>
      <c r="BO7" s="372"/>
      <c r="BP7" s="372"/>
      <c r="BQ7" s="373"/>
      <c r="BR7" s="360" t="s">
        <v>34</v>
      </c>
      <c r="BS7" s="361"/>
    </row>
    <row r="8" spans="2:71" ht="22.5" customHeight="1" x14ac:dyDescent="0.25">
      <c r="B8" s="388" t="s">
        <v>35</v>
      </c>
      <c r="C8" s="389"/>
      <c r="D8" s="390"/>
      <c r="E8" s="393" t="s">
        <v>36</v>
      </c>
      <c r="F8" s="394"/>
      <c r="G8" s="395"/>
      <c r="I8" s="357" t="s">
        <v>37</v>
      </c>
      <c r="J8" s="357"/>
      <c r="K8" s="357"/>
      <c r="L8" s="357"/>
      <c r="M8" s="354">
        <f>COUNT(B29:B52)</f>
        <v>10</v>
      </c>
      <c r="N8" s="368"/>
      <c r="O8" s="369"/>
      <c r="P8" s="91" t="s">
        <v>38</v>
      </c>
      <c r="Q8" s="53"/>
      <c r="R8" s="357" t="s">
        <v>39</v>
      </c>
      <c r="S8" s="357"/>
      <c r="T8" s="357"/>
      <c r="U8" s="357"/>
      <c r="V8" s="357"/>
      <c r="W8" s="357"/>
      <c r="X8" s="357"/>
      <c r="Y8" s="384">
        <v>45275</v>
      </c>
      <c r="Z8" s="383"/>
      <c r="AA8" s="357" t="s">
        <v>40</v>
      </c>
      <c r="AB8" s="357"/>
      <c r="AC8" s="357"/>
      <c r="AD8" s="245" t="s">
        <v>9</v>
      </c>
      <c r="AE8" s="388" t="s">
        <v>41</v>
      </c>
      <c r="AF8" s="389"/>
      <c r="AG8" s="390"/>
      <c r="AH8" s="247">
        <v>0.97899999999999998</v>
      </c>
      <c r="AK8" s="371" t="s">
        <v>42</v>
      </c>
      <c r="AL8" s="372"/>
      <c r="AM8" s="372"/>
      <c r="AN8" s="373"/>
      <c r="AO8" s="405">
        <v>80180876</v>
      </c>
      <c r="AP8" s="370"/>
      <c r="AR8" s="371" t="s">
        <v>43</v>
      </c>
      <c r="AS8" s="372"/>
      <c r="AT8" s="372"/>
      <c r="AU8" s="372"/>
      <c r="AV8" s="373"/>
      <c r="AW8" s="360" t="s">
        <v>44</v>
      </c>
      <c r="AX8" s="370"/>
      <c r="AZ8" s="371" t="s">
        <v>45</v>
      </c>
      <c r="BA8" s="372"/>
      <c r="BB8" s="372"/>
      <c r="BC8" s="373"/>
      <c r="BD8" s="360">
        <v>800864</v>
      </c>
      <c r="BE8" s="361"/>
      <c r="BG8" s="371" t="s">
        <v>46</v>
      </c>
      <c r="BH8" s="372"/>
      <c r="BI8" s="372"/>
      <c r="BJ8" s="373"/>
      <c r="BK8" s="360" t="s">
        <v>47</v>
      </c>
      <c r="BL8" s="361"/>
      <c r="BN8" s="371" t="s">
        <v>46</v>
      </c>
      <c r="BO8" s="372"/>
      <c r="BP8" s="372"/>
      <c r="BQ8" s="373"/>
      <c r="BR8" s="360" t="s">
        <v>48</v>
      </c>
      <c r="BS8" s="361"/>
    </row>
    <row r="9" spans="2:71" ht="22.5" customHeight="1" x14ac:dyDescent="0.2">
      <c r="B9" s="388" t="s">
        <v>49</v>
      </c>
      <c r="C9" s="389"/>
      <c r="D9" s="390"/>
      <c r="E9" s="399">
        <v>109</v>
      </c>
      <c r="F9" s="400"/>
      <c r="G9" s="401"/>
      <c r="I9" s="357" t="s">
        <v>50</v>
      </c>
      <c r="J9" s="357"/>
      <c r="K9" s="357"/>
      <c r="L9" s="357"/>
      <c r="M9" s="381">
        <v>45312.37636574074</v>
      </c>
      <c r="N9" s="381"/>
      <c r="O9" s="381"/>
      <c r="P9" s="381"/>
      <c r="Q9" s="54"/>
      <c r="R9" s="357" t="s">
        <v>51</v>
      </c>
      <c r="S9" s="357"/>
      <c r="T9" s="357"/>
      <c r="U9" s="357"/>
      <c r="V9" s="357"/>
      <c r="W9" s="357"/>
      <c r="X9" s="357"/>
      <c r="Y9" s="382" t="s">
        <v>1098</v>
      </c>
      <c r="Z9" s="383"/>
      <c r="AA9" s="357" t="s">
        <v>52</v>
      </c>
      <c r="AB9" s="357"/>
      <c r="AC9" s="357"/>
      <c r="AD9" s="247">
        <v>9.9573930271326319</v>
      </c>
      <c r="AE9" s="388" t="s">
        <v>53</v>
      </c>
      <c r="AF9" s="389"/>
      <c r="AG9" s="390"/>
      <c r="AH9" s="247">
        <v>3.89</v>
      </c>
      <c r="AK9" s="371" t="s">
        <v>54</v>
      </c>
      <c r="AL9" s="372"/>
      <c r="AM9" s="372"/>
      <c r="AN9" s="373"/>
      <c r="AO9" s="405" t="s">
        <v>55</v>
      </c>
      <c r="AP9" s="370"/>
      <c r="AR9" s="371" t="s">
        <v>56</v>
      </c>
      <c r="AS9" s="372"/>
      <c r="AT9" s="372"/>
      <c r="AU9" s="372"/>
      <c r="AV9" s="373"/>
      <c r="AW9" s="360" t="s">
        <v>57</v>
      </c>
      <c r="AX9" s="361"/>
      <c r="AZ9" s="374" t="s">
        <v>58</v>
      </c>
      <c r="BA9" s="375"/>
      <c r="BB9" s="375"/>
      <c r="BC9" s="376"/>
      <c r="BD9" s="362">
        <v>1</v>
      </c>
      <c r="BE9" s="363"/>
      <c r="BF9" s="239"/>
      <c r="BG9" s="371" t="s">
        <v>59</v>
      </c>
      <c r="BH9" s="372"/>
      <c r="BI9" s="372"/>
      <c r="BJ9" s="373"/>
      <c r="BK9" s="360" t="s">
        <v>60</v>
      </c>
      <c r="BL9" s="361"/>
      <c r="BM9" s="230"/>
      <c r="BN9" s="371" t="s">
        <v>59</v>
      </c>
      <c r="BO9" s="372"/>
      <c r="BP9" s="372"/>
      <c r="BQ9" s="373"/>
      <c r="BR9" s="360" t="s">
        <v>61</v>
      </c>
      <c r="BS9" s="361"/>
    </row>
    <row r="10" spans="2:71" ht="22.5" customHeight="1" x14ac:dyDescent="0.25">
      <c r="B10" s="388" t="s">
        <v>62</v>
      </c>
      <c r="C10" s="389"/>
      <c r="D10" s="390"/>
      <c r="E10" s="393" t="s">
        <v>387</v>
      </c>
      <c r="F10" s="394"/>
      <c r="G10" s="395"/>
      <c r="I10" s="357" t="s">
        <v>63</v>
      </c>
      <c r="J10" s="357"/>
      <c r="K10" s="357"/>
      <c r="L10" s="357" t="s">
        <v>64</v>
      </c>
      <c r="M10" s="381">
        <v>45311.333333333336</v>
      </c>
      <c r="N10" s="381"/>
      <c r="O10" s="381"/>
      <c r="P10" s="381"/>
      <c r="R10" s="357" t="s">
        <v>65</v>
      </c>
      <c r="S10" s="357"/>
      <c r="T10" s="357"/>
      <c r="U10" s="357"/>
      <c r="V10" s="357"/>
      <c r="W10" s="357"/>
      <c r="X10" s="357"/>
      <c r="Y10" s="384">
        <v>45275</v>
      </c>
      <c r="Z10" s="383"/>
      <c r="AA10" s="357" t="s">
        <v>66</v>
      </c>
      <c r="AB10" s="357"/>
      <c r="AC10" s="357"/>
      <c r="AD10" s="245" t="s">
        <v>9</v>
      </c>
      <c r="AE10" s="388" t="s">
        <v>67</v>
      </c>
      <c r="AF10" s="389"/>
      <c r="AG10" s="390"/>
      <c r="AH10" s="245">
        <v>0.57999999999999996</v>
      </c>
      <c r="AK10" s="371" t="s">
        <v>68</v>
      </c>
      <c r="AL10" s="372"/>
      <c r="AM10" s="372"/>
      <c r="AN10" s="373"/>
      <c r="AO10" s="406">
        <v>1756001027106</v>
      </c>
      <c r="AP10" s="407"/>
      <c r="AR10" s="371" t="s">
        <v>69</v>
      </c>
      <c r="AS10" s="372"/>
      <c r="AT10" s="372"/>
      <c r="AU10" s="372"/>
      <c r="AV10" s="373"/>
      <c r="AW10" s="360" t="s">
        <v>70</v>
      </c>
      <c r="AX10" s="361"/>
      <c r="AZ10" s="371" t="s">
        <v>71</v>
      </c>
      <c r="BA10" s="372"/>
      <c r="BB10" s="372"/>
      <c r="BC10" s="373"/>
      <c r="BD10" s="362" t="s">
        <v>72</v>
      </c>
      <c r="BE10" s="363"/>
      <c r="BG10" s="374" t="s">
        <v>73</v>
      </c>
      <c r="BH10" s="375"/>
      <c r="BI10" s="375"/>
      <c r="BJ10" s="376"/>
      <c r="BK10" s="360" t="s">
        <v>74</v>
      </c>
      <c r="BL10" s="361"/>
      <c r="BN10" s="374" t="s">
        <v>73</v>
      </c>
      <c r="BO10" s="375"/>
      <c r="BP10" s="375"/>
      <c r="BQ10" s="376"/>
      <c r="BR10" s="360" t="s">
        <v>75</v>
      </c>
      <c r="BS10" s="361"/>
    </row>
    <row r="11" spans="2:71" ht="22.5" customHeight="1" x14ac:dyDescent="0.25">
      <c r="B11" s="388" t="s">
        <v>76</v>
      </c>
      <c r="C11" s="389"/>
      <c r="D11" s="390"/>
      <c r="E11" s="402" t="s">
        <v>77</v>
      </c>
      <c r="F11" s="403"/>
      <c r="G11" s="404"/>
      <c r="I11" s="308" t="s">
        <v>78</v>
      </c>
      <c r="J11" s="308"/>
      <c r="K11" s="308"/>
      <c r="L11" s="308"/>
      <c r="M11" s="308"/>
      <c r="N11" s="308"/>
      <c r="O11" s="308"/>
      <c r="P11" s="308"/>
      <c r="Y11" s="23"/>
      <c r="Z11" s="23"/>
      <c r="AR11" s="371" t="s">
        <v>79</v>
      </c>
      <c r="AS11" s="372"/>
      <c r="AT11" s="372"/>
      <c r="AU11" s="372"/>
      <c r="AV11" s="373"/>
      <c r="AW11" s="362" t="s">
        <v>416</v>
      </c>
      <c r="AX11" s="363"/>
      <c r="AZ11" s="371" t="s">
        <v>80</v>
      </c>
      <c r="BA11" s="372"/>
      <c r="BB11" s="372"/>
      <c r="BC11" s="373"/>
      <c r="BD11" s="362">
        <v>2042011</v>
      </c>
      <c r="BE11" s="363"/>
      <c r="BG11" s="371" t="s">
        <v>81</v>
      </c>
      <c r="BH11" s="372"/>
      <c r="BI11" s="372"/>
      <c r="BJ11" s="373"/>
      <c r="BK11" s="360" t="s">
        <v>82</v>
      </c>
      <c r="BL11" s="361"/>
      <c r="BN11" s="371" t="s">
        <v>81</v>
      </c>
      <c r="BO11" s="372"/>
      <c r="BP11" s="372"/>
      <c r="BQ11" s="373"/>
      <c r="BR11" s="362" t="s">
        <v>48</v>
      </c>
      <c r="BS11" s="363"/>
    </row>
    <row r="12" spans="2:71" ht="22.5" customHeight="1" x14ac:dyDescent="0.25">
      <c r="B12" s="388" t="s">
        <v>83</v>
      </c>
      <c r="C12" s="389"/>
      <c r="D12" s="390"/>
      <c r="E12" s="402" t="s">
        <v>84</v>
      </c>
      <c r="F12" s="403"/>
      <c r="G12" s="404"/>
      <c r="I12" s="356" t="s">
        <v>85</v>
      </c>
      <c r="J12" s="356"/>
      <c r="K12" s="356"/>
      <c r="L12" s="356"/>
      <c r="M12" s="392" t="s">
        <v>86</v>
      </c>
      <c r="N12" s="392"/>
      <c r="O12" s="392"/>
      <c r="P12" s="392"/>
      <c r="R12" s="330" t="s">
        <v>87</v>
      </c>
      <c r="S12" s="331"/>
      <c r="T12" s="331"/>
      <c r="U12" s="331"/>
      <c r="V12" s="331"/>
      <c r="W12" s="331"/>
      <c r="X12" s="331"/>
      <c r="Y12" s="331"/>
      <c r="Z12" s="331"/>
      <c r="AA12" s="332"/>
      <c r="AK12" s="377" t="s">
        <v>88</v>
      </c>
      <c r="AL12" s="378"/>
      <c r="AM12" s="378"/>
      <c r="AN12" s="378"/>
      <c r="AO12" s="378"/>
      <c r="AP12" s="379"/>
      <c r="AQ12" s="55"/>
      <c r="AR12" s="371" t="s">
        <v>89</v>
      </c>
      <c r="AS12" s="372"/>
      <c r="AT12" s="372"/>
      <c r="AU12" s="372"/>
      <c r="AV12" s="373"/>
      <c r="AW12" s="362" t="s">
        <v>417</v>
      </c>
      <c r="AX12" s="363"/>
      <c r="AZ12" s="371" t="s">
        <v>90</v>
      </c>
      <c r="BA12" s="372"/>
      <c r="BB12" s="372"/>
      <c r="BC12" s="373"/>
      <c r="BD12" s="362" t="s">
        <v>91</v>
      </c>
      <c r="BE12" s="363"/>
      <c r="BG12" s="371" t="s">
        <v>92</v>
      </c>
      <c r="BH12" s="372"/>
      <c r="BI12" s="372"/>
      <c r="BJ12" s="373"/>
      <c r="BK12" s="360" t="s">
        <v>1101</v>
      </c>
      <c r="BL12" s="361"/>
      <c r="BN12" s="371" t="s">
        <v>92</v>
      </c>
      <c r="BO12" s="372"/>
      <c r="BP12" s="372"/>
      <c r="BQ12" s="373"/>
      <c r="BR12" s="362">
        <v>279368</v>
      </c>
      <c r="BS12" s="363"/>
    </row>
    <row r="13" spans="2:71" ht="22.5" customHeight="1" x14ac:dyDescent="0.25">
      <c r="B13" s="388" t="s">
        <v>93</v>
      </c>
      <c r="C13" s="389"/>
      <c r="D13" s="390"/>
      <c r="E13" s="354">
        <v>393254</v>
      </c>
      <c r="F13" s="355"/>
      <c r="G13" s="92" t="s">
        <v>94</v>
      </c>
      <c r="I13" s="356" t="s">
        <v>95</v>
      </c>
      <c r="J13" s="356"/>
      <c r="K13" s="356"/>
      <c r="L13" s="356"/>
      <c r="M13" s="392" t="s">
        <v>96</v>
      </c>
      <c r="N13" s="392"/>
      <c r="O13" s="392"/>
      <c r="P13" s="392"/>
      <c r="R13" s="357" t="s">
        <v>97</v>
      </c>
      <c r="S13" s="357"/>
      <c r="T13" s="391" t="s">
        <v>98</v>
      </c>
      <c r="U13" s="391"/>
      <c r="V13" s="35" t="s">
        <v>99</v>
      </c>
      <c r="W13" s="357" t="s">
        <v>100</v>
      </c>
      <c r="X13" s="357"/>
      <c r="Y13" s="391">
        <v>2014</v>
      </c>
      <c r="Z13" s="391"/>
      <c r="AA13" s="35" t="s">
        <v>101</v>
      </c>
      <c r="AK13" s="371" t="s">
        <v>102</v>
      </c>
      <c r="AL13" s="372"/>
      <c r="AM13" s="372"/>
      <c r="AN13" s="373"/>
      <c r="AO13" s="415" t="s">
        <v>103</v>
      </c>
      <c r="AP13" s="416"/>
      <c r="AR13" s="371" t="s">
        <v>104</v>
      </c>
      <c r="AS13" s="372"/>
      <c r="AT13" s="372"/>
      <c r="AU13" s="372"/>
      <c r="AV13" s="373"/>
      <c r="AW13" s="360" t="s">
        <v>105</v>
      </c>
      <c r="AX13" s="361"/>
      <c r="AZ13" s="371" t="s">
        <v>106</v>
      </c>
      <c r="BA13" s="372"/>
      <c r="BB13" s="372"/>
      <c r="BC13" s="373"/>
      <c r="BD13" s="362">
        <v>635304</v>
      </c>
      <c r="BE13" s="363"/>
      <c r="BG13" s="371" t="s">
        <v>107</v>
      </c>
      <c r="BH13" s="372"/>
      <c r="BI13" s="372"/>
      <c r="BJ13" s="373"/>
      <c r="BK13" s="360" t="s">
        <v>108</v>
      </c>
      <c r="BL13" s="361"/>
      <c r="BN13" s="371" t="s">
        <v>107</v>
      </c>
      <c r="BO13" s="372"/>
      <c r="BP13" s="372"/>
      <c r="BQ13" s="373"/>
      <c r="BR13" s="362" t="s">
        <v>105</v>
      </c>
      <c r="BS13" s="363"/>
    </row>
    <row r="14" spans="2:71" ht="22.5" customHeight="1" x14ac:dyDescent="0.25">
      <c r="B14" s="388" t="s">
        <v>109</v>
      </c>
      <c r="C14" s="389"/>
      <c r="D14" s="390"/>
      <c r="E14" s="354">
        <v>7650977</v>
      </c>
      <c r="F14" s="355"/>
      <c r="G14" s="92" t="s">
        <v>94</v>
      </c>
      <c r="R14" s="357" t="s">
        <v>110</v>
      </c>
      <c r="S14" s="357"/>
      <c r="T14" s="391">
        <v>1500</v>
      </c>
      <c r="U14" s="391"/>
      <c r="V14" s="36" t="s">
        <v>111</v>
      </c>
      <c r="W14" s="357" t="s">
        <v>112</v>
      </c>
      <c r="X14" s="357"/>
      <c r="Y14" s="391">
        <v>5564</v>
      </c>
      <c r="Z14" s="391"/>
      <c r="AA14" s="35" t="s">
        <v>101</v>
      </c>
      <c r="AK14" s="371" t="s">
        <v>113</v>
      </c>
      <c r="AL14" s="372"/>
      <c r="AM14" s="372"/>
      <c r="AN14" s="373"/>
      <c r="AO14" s="415" t="s">
        <v>103</v>
      </c>
      <c r="AP14" s="416"/>
      <c r="AR14" s="371" t="s">
        <v>114</v>
      </c>
      <c r="AS14" s="372"/>
      <c r="AT14" s="372"/>
      <c r="AU14" s="372"/>
      <c r="AV14" s="373"/>
      <c r="AW14" s="360" t="s">
        <v>105</v>
      </c>
      <c r="AX14" s="361"/>
      <c r="AZ14" s="371" t="s">
        <v>115</v>
      </c>
      <c r="BA14" s="372"/>
      <c r="BB14" s="372"/>
      <c r="BC14" s="373"/>
      <c r="BD14" s="360" t="s">
        <v>116</v>
      </c>
      <c r="BE14" s="361"/>
      <c r="BG14" s="371" t="s">
        <v>117</v>
      </c>
      <c r="BH14" s="372"/>
      <c r="BI14" s="372"/>
      <c r="BJ14" s="373"/>
      <c r="BK14" s="360">
        <v>1891390</v>
      </c>
      <c r="BL14" s="361"/>
      <c r="BN14" s="371" t="s">
        <v>117</v>
      </c>
      <c r="BO14" s="372"/>
      <c r="BP14" s="372"/>
      <c r="BQ14" s="373"/>
      <c r="BR14" s="362" t="s">
        <v>105</v>
      </c>
      <c r="BS14" s="363"/>
    </row>
    <row r="15" spans="2:71" ht="22.5" customHeight="1" x14ac:dyDescent="0.25">
      <c r="B15" s="388" t="s">
        <v>118</v>
      </c>
      <c r="C15" s="389"/>
      <c r="D15" s="390"/>
      <c r="E15" s="354">
        <v>1314</v>
      </c>
      <c r="F15" s="355"/>
      <c r="G15" s="92" t="s">
        <v>119</v>
      </c>
      <c r="I15" s="308" t="s">
        <v>120</v>
      </c>
      <c r="J15" s="308"/>
      <c r="K15" s="308"/>
      <c r="L15" s="308"/>
      <c r="M15" s="308"/>
      <c r="N15" s="308"/>
      <c r="O15" s="308"/>
      <c r="P15" s="308"/>
      <c r="R15" s="357" t="s">
        <v>121</v>
      </c>
      <c r="S15" s="357"/>
      <c r="T15" s="391">
        <v>4556</v>
      </c>
      <c r="U15" s="391"/>
      <c r="V15" s="36" t="s">
        <v>122</v>
      </c>
      <c r="W15" s="357" t="s">
        <v>123</v>
      </c>
      <c r="X15" s="357"/>
      <c r="Y15" s="391" t="s">
        <v>9</v>
      </c>
      <c r="Z15" s="391"/>
      <c r="AA15" s="35" t="s">
        <v>99</v>
      </c>
      <c r="AZ15" s="371" t="s">
        <v>124</v>
      </c>
      <c r="BA15" s="372"/>
      <c r="BB15" s="372"/>
      <c r="BC15" s="373"/>
      <c r="BD15" s="360" t="s">
        <v>125</v>
      </c>
      <c r="BE15" s="361"/>
      <c r="BG15" s="371" t="s">
        <v>71</v>
      </c>
      <c r="BH15" s="372"/>
      <c r="BI15" s="372"/>
      <c r="BJ15" s="373"/>
      <c r="BK15" s="360" t="s">
        <v>126</v>
      </c>
      <c r="BL15" s="361"/>
      <c r="BN15" s="371" t="s">
        <v>71</v>
      </c>
      <c r="BO15" s="372"/>
      <c r="BP15" s="372"/>
      <c r="BQ15" s="373"/>
      <c r="BR15" s="362" t="s">
        <v>127</v>
      </c>
      <c r="BS15" s="363"/>
    </row>
    <row r="16" spans="2:71" ht="22.5" customHeight="1" x14ac:dyDescent="0.25">
      <c r="B16" s="10"/>
      <c r="C16" s="10"/>
      <c r="D16" s="10"/>
      <c r="E16" s="31"/>
      <c r="F16" s="31"/>
      <c r="G16" s="31"/>
      <c r="I16" s="364" t="s">
        <v>128</v>
      </c>
      <c r="J16" s="365"/>
      <c r="K16" s="93" t="s">
        <v>9</v>
      </c>
      <c r="L16" s="92" t="s">
        <v>101</v>
      </c>
      <c r="M16" s="364" t="s">
        <v>129</v>
      </c>
      <c r="N16" s="365"/>
      <c r="O16" s="93" t="s">
        <v>9</v>
      </c>
      <c r="P16" s="92" t="s">
        <v>130</v>
      </c>
      <c r="R16" s="357" t="s">
        <v>131</v>
      </c>
      <c r="S16" s="357"/>
      <c r="T16" s="391">
        <v>200</v>
      </c>
      <c r="U16" s="391"/>
      <c r="V16" s="36" t="s">
        <v>132</v>
      </c>
      <c r="W16" s="357" t="s">
        <v>133</v>
      </c>
      <c r="X16" s="357"/>
      <c r="Y16" s="408">
        <v>42212</v>
      </c>
      <c r="Z16" s="391"/>
      <c r="AA16" s="37" t="s">
        <v>105</v>
      </c>
      <c r="AQ16" s="55"/>
      <c r="AR16" s="377" t="s">
        <v>134</v>
      </c>
      <c r="AS16" s="378"/>
      <c r="AT16" s="378"/>
      <c r="AU16" s="378"/>
      <c r="AV16" s="378"/>
      <c r="AW16" s="378"/>
      <c r="AX16" s="379"/>
      <c r="AZ16" s="20"/>
      <c r="BG16" s="371" t="s">
        <v>80</v>
      </c>
      <c r="BH16" s="372"/>
      <c r="BI16" s="372"/>
      <c r="BJ16" s="373"/>
      <c r="BK16" s="360" t="s">
        <v>1101</v>
      </c>
      <c r="BL16" s="361"/>
      <c r="BN16" s="371" t="s">
        <v>80</v>
      </c>
      <c r="BO16" s="372"/>
      <c r="BP16" s="372"/>
      <c r="BQ16" s="373"/>
      <c r="BR16" s="362">
        <v>279368</v>
      </c>
      <c r="BS16" s="363"/>
    </row>
    <row r="17" spans="2:71" ht="22.5" customHeight="1" x14ac:dyDescent="0.25">
      <c r="B17" s="10"/>
      <c r="C17" s="10"/>
      <c r="D17" s="10"/>
      <c r="E17" s="31"/>
      <c r="F17" s="31"/>
      <c r="G17" s="31"/>
      <c r="Q17" s="33"/>
      <c r="R17" s="33"/>
      <c r="S17" s="33"/>
      <c r="T17" s="10"/>
      <c r="U17" s="10"/>
      <c r="AR17" s="371" t="s">
        <v>135</v>
      </c>
      <c r="AS17" s="372"/>
      <c r="AT17" s="372"/>
      <c r="AU17" s="372"/>
      <c r="AV17" s="373"/>
      <c r="AW17" s="360" t="s">
        <v>105</v>
      </c>
      <c r="AX17" s="370"/>
      <c r="AZ17" s="377" t="s">
        <v>136</v>
      </c>
      <c r="BA17" s="378"/>
      <c r="BB17" s="378"/>
      <c r="BC17" s="378"/>
      <c r="BD17" s="378"/>
      <c r="BE17" s="379"/>
      <c r="BG17" s="371" t="s">
        <v>90</v>
      </c>
      <c r="BH17" s="372"/>
      <c r="BI17" s="372"/>
      <c r="BJ17" s="373"/>
      <c r="BK17" s="360" t="s">
        <v>137</v>
      </c>
      <c r="BL17" s="361"/>
      <c r="BN17" s="371" t="s">
        <v>90</v>
      </c>
      <c r="BO17" s="372"/>
      <c r="BP17" s="372"/>
      <c r="BQ17" s="373"/>
      <c r="BR17" s="362" t="s">
        <v>138</v>
      </c>
      <c r="BS17" s="363"/>
    </row>
    <row r="18" spans="2:71" ht="22.5" customHeight="1" x14ac:dyDescent="0.25">
      <c r="B18" s="10"/>
      <c r="C18" s="10"/>
      <c r="D18" s="10"/>
      <c r="E18" s="31"/>
      <c r="F18" s="31"/>
      <c r="G18" s="31"/>
      <c r="I18" s="308" t="s">
        <v>139</v>
      </c>
      <c r="J18" s="308"/>
      <c r="K18" s="308"/>
      <c r="L18" s="308"/>
      <c r="M18" s="308"/>
      <c r="N18" s="308"/>
      <c r="O18" s="308"/>
      <c r="P18" s="308"/>
      <c r="T18" s="10"/>
      <c r="AN18" s="27"/>
      <c r="AZ18" s="371" t="s">
        <v>31</v>
      </c>
      <c r="BA18" s="372"/>
      <c r="BB18" s="372"/>
      <c r="BC18" s="373"/>
      <c r="BD18" s="360" t="s">
        <v>140</v>
      </c>
      <c r="BE18" s="370"/>
      <c r="BG18" s="371" t="s">
        <v>106</v>
      </c>
      <c r="BH18" s="372"/>
      <c r="BI18" s="372"/>
      <c r="BJ18" s="373"/>
      <c r="BK18" s="360" t="s">
        <v>1101</v>
      </c>
      <c r="BL18" s="361"/>
      <c r="BN18" s="371" t="s">
        <v>106</v>
      </c>
      <c r="BO18" s="372"/>
      <c r="BP18" s="372"/>
      <c r="BQ18" s="373"/>
      <c r="BR18" s="362">
        <v>279368</v>
      </c>
      <c r="BS18" s="363"/>
    </row>
    <row r="19" spans="2:71" ht="22.5" customHeight="1" x14ac:dyDescent="0.25">
      <c r="B19" s="10"/>
      <c r="C19" s="10"/>
      <c r="D19" s="10"/>
      <c r="E19" s="31"/>
      <c r="F19" s="31"/>
      <c r="G19" s="31"/>
      <c r="I19" s="356" t="s">
        <v>141</v>
      </c>
      <c r="J19" s="356"/>
      <c r="K19" s="356"/>
      <c r="L19" s="356"/>
      <c r="M19" s="356"/>
      <c r="N19" s="418">
        <v>25</v>
      </c>
      <c r="O19" s="419"/>
      <c r="P19" s="92" t="s">
        <v>142</v>
      </c>
      <c r="Q19" s="34"/>
      <c r="R19" s="34"/>
      <c r="S19" s="34"/>
      <c r="T19" s="10"/>
      <c r="AN19" s="27"/>
      <c r="AZ19" s="371" t="s">
        <v>45</v>
      </c>
      <c r="BA19" s="372"/>
      <c r="BB19" s="372"/>
      <c r="BC19" s="373"/>
      <c r="BD19" s="360" t="s">
        <v>105</v>
      </c>
      <c r="BE19" s="370"/>
      <c r="BG19" s="371" t="s">
        <v>115</v>
      </c>
      <c r="BH19" s="372"/>
      <c r="BI19" s="372"/>
      <c r="BJ19" s="373"/>
      <c r="BK19" s="360" t="s">
        <v>143</v>
      </c>
      <c r="BL19" s="361"/>
      <c r="BN19" s="371" t="s">
        <v>115</v>
      </c>
      <c r="BO19" s="372"/>
      <c r="BP19" s="372"/>
      <c r="BQ19" s="373"/>
      <c r="BR19" s="362" t="s">
        <v>144</v>
      </c>
      <c r="BS19" s="363"/>
    </row>
    <row r="20" spans="2:71" ht="22.5" customHeight="1" x14ac:dyDescent="0.25">
      <c r="B20" s="10"/>
      <c r="C20" s="10"/>
      <c r="D20" s="10"/>
      <c r="E20" s="12"/>
      <c r="F20" s="12"/>
      <c r="G20" s="12"/>
      <c r="I20" s="356" t="s">
        <v>145</v>
      </c>
      <c r="J20" s="356"/>
      <c r="K20" s="356"/>
      <c r="L20" s="356"/>
      <c r="M20" s="356"/>
      <c r="N20" s="420" t="s">
        <v>9</v>
      </c>
      <c r="O20" s="421"/>
      <c r="P20" s="92" t="s">
        <v>142</v>
      </c>
      <c r="Q20" s="32"/>
      <c r="R20" s="32"/>
      <c r="S20" s="32"/>
      <c r="T20" s="32"/>
      <c r="AZ20" s="374" t="s">
        <v>58</v>
      </c>
      <c r="BA20" s="375"/>
      <c r="BB20" s="375"/>
      <c r="BC20" s="376"/>
      <c r="BD20" s="360" t="s">
        <v>105</v>
      </c>
      <c r="BE20" s="370"/>
      <c r="BG20" s="371" t="s">
        <v>124</v>
      </c>
      <c r="BH20" s="372"/>
      <c r="BI20" s="372"/>
      <c r="BJ20" s="373"/>
      <c r="BK20" s="360" t="s">
        <v>146</v>
      </c>
      <c r="BL20" s="361"/>
      <c r="BN20" s="371" t="s">
        <v>124</v>
      </c>
      <c r="BO20" s="372"/>
      <c r="BP20" s="372"/>
      <c r="BQ20" s="373"/>
      <c r="BR20" s="362" t="s">
        <v>147</v>
      </c>
      <c r="BS20" s="363"/>
    </row>
    <row r="21" spans="2:71" ht="22.5" customHeight="1" x14ac:dyDescent="0.25">
      <c r="B21" s="10"/>
      <c r="C21" s="10"/>
      <c r="D21" s="10"/>
      <c r="E21" s="12"/>
      <c r="F21" s="12"/>
      <c r="G21" s="12"/>
      <c r="I21" s="356" t="s">
        <v>148</v>
      </c>
      <c r="J21" s="356"/>
      <c r="K21" s="356"/>
      <c r="L21" s="356"/>
      <c r="M21" s="356"/>
      <c r="N21" s="366" t="s">
        <v>9</v>
      </c>
      <c r="O21" s="366"/>
      <c r="P21" s="92" t="s">
        <v>142</v>
      </c>
      <c r="T21" s="10"/>
      <c r="X21" s="10" t="s">
        <v>149</v>
      </c>
      <c r="Y21" s="240" t="s">
        <v>150</v>
      </c>
      <c r="Z21" s="32"/>
      <c r="AA21" s="224"/>
      <c r="BG21" s="371" t="s">
        <v>58</v>
      </c>
      <c r="BH21" s="372"/>
      <c r="BI21" s="372"/>
      <c r="BJ21" s="373"/>
      <c r="BK21" s="360" t="s">
        <v>105</v>
      </c>
      <c r="BL21" s="361"/>
      <c r="BN21" s="371" t="s">
        <v>58</v>
      </c>
      <c r="BO21" s="372"/>
      <c r="BP21" s="372"/>
      <c r="BQ21" s="373"/>
      <c r="BR21" s="362" t="s">
        <v>105</v>
      </c>
      <c r="BS21" s="363"/>
    </row>
    <row r="22" spans="2:71" ht="22.5" customHeight="1" x14ac:dyDescent="0.25">
      <c r="B22" s="10"/>
      <c r="C22" s="10"/>
      <c r="D22" s="10"/>
      <c r="E22" s="12"/>
      <c r="F22" s="12"/>
      <c r="G22" s="12"/>
      <c r="T22" s="10" t="s">
        <v>151</v>
      </c>
      <c r="U22" s="241" t="s">
        <v>152</v>
      </c>
      <c r="V22" s="241" t="s">
        <v>153</v>
      </c>
      <c r="X22" s="238"/>
      <c r="Y22" s="221" t="s">
        <v>152</v>
      </c>
      <c r="Z22" s="221" t="s">
        <v>153</v>
      </c>
      <c r="BG22" s="371" t="s">
        <v>154</v>
      </c>
      <c r="BH22" s="372"/>
      <c r="BI22" s="372"/>
      <c r="BJ22" s="373"/>
      <c r="BK22" s="360" t="s">
        <v>155</v>
      </c>
      <c r="BL22" s="361"/>
      <c r="BN22" s="371" t="s">
        <v>154</v>
      </c>
      <c r="BO22" s="372"/>
      <c r="BP22" s="372"/>
      <c r="BQ22" s="373"/>
      <c r="BR22" s="362" t="s">
        <v>156</v>
      </c>
      <c r="BS22" s="363"/>
    </row>
    <row r="23" spans="2:71" ht="22.5" customHeight="1" x14ac:dyDescent="0.25">
      <c r="B23" s="10"/>
      <c r="C23" s="10"/>
      <c r="D23" s="12"/>
      <c r="E23" s="12"/>
      <c r="F23" s="12"/>
      <c r="O23" s="10"/>
      <c r="P23" s="10"/>
      <c r="Q23" s="10"/>
      <c r="R23" s="10"/>
      <c r="S23" s="10"/>
      <c r="T23" s="221">
        <v>800864</v>
      </c>
      <c r="U23" s="221">
        <v>30</v>
      </c>
      <c r="V23" s="221">
        <v>59.7</v>
      </c>
      <c r="X23" s="222"/>
      <c r="Y23" s="223">
        <v>850</v>
      </c>
      <c r="Z23" s="223">
        <v>5000</v>
      </c>
    </row>
    <row r="24" spans="2:71" s="1" customFormat="1" ht="22.5" customHeight="1" x14ac:dyDescent="0.25">
      <c r="B24" s="321" t="s">
        <v>157</v>
      </c>
      <c r="C24" s="321"/>
      <c r="D24" s="308" t="s">
        <v>158</v>
      </c>
      <c r="E24" s="308"/>
      <c r="F24" s="308" t="s">
        <v>159</v>
      </c>
      <c r="G24" s="308"/>
      <c r="H24" s="308"/>
      <c r="I24" s="308" t="s">
        <v>160</v>
      </c>
      <c r="J24" s="308"/>
      <c r="K24" s="308"/>
      <c r="L24" s="308"/>
      <c r="M24" s="308"/>
      <c r="N24" s="308" t="s">
        <v>161</v>
      </c>
      <c r="O24" s="308"/>
      <c r="P24" s="308"/>
      <c r="Q24" s="308"/>
      <c r="R24" s="308"/>
      <c r="S24" s="308"/>
      <c r="T24" s="308"/>
      <c r="U24" s="308"/>
      <c r="V24" s="308"/>
      <c r="W24" s="308"/>
      <c r="X24" s="308"/>
      <c r="Y24" s="308"/>
      <c r="Z24" s="308"/>
      <c r="AA24" s="308"/>
      <c r="AB24" s="308"/>
      <c r="AC24" s="308"/>
      <c r="AD24" s="308"/>
      <c r="AE24" s="308"/>
      <c r="AF24" s="308"/>
      <c r="AG24" s="308"/>
      <c r="AH24" s="330" t="s">
        <v>162</v>
      </c>
      <c r="AI24" s="331"/>
      <c r="AJ24" s="331"/>
      <c r="AK24" s="331"/>
      <c r="AL24" s="332"/>
      <c r="AM24" s="330" t="s">
        <v>163</v>
      </c>
      <c r="AN24" s="331"/>
      <c r="AO24" s="331"/>
      <c r="AP24" s="331"/>
      <c r="AQ24" s="331"/>
      <c r="AR24" s="331"/>
      <c r="AS24" s="331"/>
      <c r="AT24" s="331"/>
      <c r="AU24" s="332"/>
      <c r="AV24" s="330" t="s">
        <v>164</v>
      </c>
      <c r="AW24" s="331"/>
      <c r="AX24" s="331"/>
      <c r="AY24" s="331"/>
      <c r="AZ24" s="331"/>
      <c r="BA24" s="331"/>
      <c r="BB24" s="331"/>
      <c r="BC24" s="331"/>
      <c r="BD24" s="331"/>
      <c r="BE24" s="331"/>
      <c r="BF24" s="331"/>
      <c r="BG24" s="331"/>
      <c r="BH24" s="331"/>
      <c r="BI24" s="331"/>
      <c r="BJ24" s="331"/>
      <c r="BK24" s="331"/>
      <c r="BL24" s="331"/>
      <c r="BM24" s="331"/>
      <c r="BN24" s="331"/>
      <c r="BO24" s="331"/>
      <c r="BP24" s="331"/>
      <c r="BQ24" s="331"/>
      <c r="BR24" s="331"/>
      <c r="BS24" s="332"/>
    </row>
    <row r="25" spans="2:71" s="2" customFormat="1" ht="22.5" customHeight="1" x14ac:dyDescent="0.25">
      <c r="B25" s="321"/>
      <c r="C25" s="321"/>
      <c r="D25" s="323" t="s">
        <v>165</v>
      </c>
      <c r="E25" s="323"/>
      <c r="F25" s="323" t="s">
        <v>166</v>
      </c>
      <c r="G25" s="323"/>
      <c r="H25" s="323"/>
      <c r="I25" s="320" t="s">
        <v>167</v>
      </c>
      <c r="J25" s="320"/>
      <c r="K25" s="320"/>
      <c r="L25" s="320"/>
      <c r="M25" s="320"/>
      <c r="N25" s="320" t="s">
        <v>167</v>
      </c>
      <c r="O25" s="320"/>
      <c r="P25" s="320"/>
      <c r="Q25" s="320"/>
      <c r="R25" s="320"/>
      <c r="S25" s="328" t="s">
        <v>168</v>
      </c>
      <c r="T25" s="329"/>
      <c r="U25" s="329"/>
      <c r="V25" s="329"/>
      <c r="W25" s="329"/>
      <c r="X25" s="329"/>
      <c r="Y25" s="329"/>
      <c r="Z25" s="329"/>
      <c r="AA25" s="259" t="s">
        <v>169</v>
      </c>
      <c r="AB25" s="260"/>
      <c r="AC25" s="260"/>
      <c r="AD25" s="260"/>
      <c r="AE25" s="260"/>
      <c r="AF25" s="260"/>
      <c r="AG25" s="260"/>
      <c r="AH25" s="259" t="s">
        <v>169</v>
      </c>
      <c r="AI25" s="260"/>
      <c r="AJ25" s="260"/>
      <c r="AK25" s="260"/>
      <c r="AL25" s="260"/>
      <c r="AM25" s="275" t="s">
        <v>170</v>
      </c>
      <c r="AN25" s="276"/>
      <c r="AO25" s="275" t="s">
        <v>171</v>
      </c>
      <c r="AP25" s="276"/>
      <c r="AQ25" s="279" t="s">
        <v>172</v>
      </c>
      <c r="AR25" s="281" t="s">
        <v>173</v>
      </c>
      <c r="AS25" s="282"/>
      <c r="AT25" s="282"/>
      <c r="AU25" s="283"/>
      <c r="AV25" s="261" t="s">
        <v>174</v>
      </c>
      <c r="AW25" s="262"/>
      <c r="AX25" s="262"/>
      <c r="AY25" s="262"/>
      <c r="AZ25" s="262"/>
      <c r="BA25" s="262"/>
      <c r="BB25" s="262"/>
      <c r="BC25" s="262"/>
      <c r="BD25" s="262"/>
      <c r="BE25" s="263"/>
      <c r="BF25" s="261" t="s">
        <v>175</v>
      </c>
      <c r="BG25" s="262"/>
      <c r="BH25" s="262"/>
      <c r="BI25" s="262"/>
      <c r="BJ25" s="262"/>
      <c r="BK25" s="263"/>
      <c r="BL25" s="261" t="s">
        <v>176</v>
      </c>
      <c r="BM25" s="262"/>
      <c r="BN25" s="262"/>
      <c r="BO25" s="263"/>
      <c r="BP25" s="261" t="s">
        <v>177</v>
      </c>
      <c r="BQ25" s="262"/>
      <c r="BR25" s="262"/>
      <c r="BS25" s="263"/>
    </row>
    <row r="26" spans="2:71" s="2" customFormat="1" ht="57" customHeight="1" x14ac:dyDescent="0.25">
      <c r="B26" s="321"/>
      <c r="C26" s="321"/>
      <c r="D26" s="323"/>
      <c r="E26" s="323"/>
      <c r="F26" s="323"/>
      <c r="G26" s="323"/>
      <c r="H26" s="323"/>
      <c r="I26" s="324" t="s">
        <v>178</v>
      </c>
      <c r="J26" s="324"/>
      <c r="K26" s="324" t="s">
        <v>179</v>
      </c>
      <c r="L26" s="324"/>
      <c r="M26" s="86" t="s">
        <v>180</v>
      </c>
      <c r="N26" s="324" t="s">
        <v>178</v>
      </c>
      <c r="O26" s="324"/>
      <c r="P26" s="324" t="s">
        <v>179</v>
      </c>
      <c r="Q26" s="324"/>
      <c r="R26" s="86" t="s">
        <v>180</v>
      </c>
      <c r="S26" s="322" t="s">
        <v>181</v>
      </c>
      <c r="T26" s="322"/>
      <c r="U26" s="325" t="s">
        <v>182</v>
      </c>
      <c r="V26" s="326"/>
      <c r="W26" s="327"/>
      <c r="X26" s="87" t="s">
        <v>183</v>
      </c>
      <c r="Y26" s="325" t="s">
        <v>184</v>
      </c>
      <c r="Z26" s="326"/>
      <c r="AA26" s="358" t="s">
        <v>178</v>
      </c>
      <c r="AB26" s="358"/>
      <c r="AC26" s="88" t="s">
        <v>185</v>
      </c>
      <c r="AD26" s="333" t="s">
        <v>179</v>
      </c>
      <c r="AE26" s="334"/>
      <c r="AF26" s="89" t="s">
        <v>186</v>
      </c>
      <c r="AG26" s="89" t="s">
        <v>187</v>
      </c>
      <c r="AH26" s="333" t="s">
        <v>178</v>
      </c>
      <c r="AI26" s="334"/>
      <c r="AJ26" s="333" t="s">
        <v>179</v>
      </c>
      <c r="AK26" s="334"/>
      <c r="AL26" s="89" t="s">
        <v>187</v>
      </c>
      <c r="AM26" s="277"/>
      <c r="AN26" s="278"/>
      <c r="AO26" s="277"/>
      <c r="AP26" s="278"/>
      <c r="AQ26" s="280"/>
      <c r="AR26" s="284"/>
      <c r="AS26" s="285"/>
      <c r="AT26" s="285"/>
      <c r="AU26" s="286"/>
      <c r="AV26" s="264"/>
      <c r="AW26" s="265"/>
      <c r="AX26" s="265"/>
      <c r="AY26" s="265"/>
      <c r="AZ26" s="265"/>
      <c r="BA26" s="265"/>
      <c r="BB26" s="265"/>
      <c r="BC26" s="265"/>
      <c r="BD26" s="265"/>
      <c r="BE26" s="266"/>
      <c r="BF26" s="264"/>
      <c r="BG26" s="265"/>
      <c r="BH26" s="265"/>
      <c r="BI26" s="265"/>
      <c r="BJ26" s="265"/>
      <c r="BK26" s="266"/>
      <c r="BL26" s="264"/>
      <c r="BM26" s="265"/>
      <c r="BN26" s="265"/>
      <c r="BO26" s="266"/>
      <c r="BP26" s="264"/>
      <c r="BQ26" s="265"/>
      <c r="BR26" s="265"/>
      <c r="BS26" s="266"/>
    </row>
    <row r="27" spans="2:71" s="3" customFormat="1" ht="45" customHeight="1" x14ac:dyDescent="0.25">
      <c r="B27" s="321"/>
      <c r="C27" s="321"/>
      <c r="D27" s="83" t="s">
        <v>188</v>
      </c>
      <c r="E27" s="83" t="s">
        <v>189</v>
      </c>
      <c r="F27" s="83" t="s">
        <v>188</v>
      </c>
      <c r="G27" s="83" t="s">
        <v>189</v>
      </c>
      <c r="H27" s="83" t="s">
        <v>190</v>
      </c>
      <c r="I27" s="83" t="s">
        <v>188</v>
      </c>
      <c r="J27" s="83" t="s">
        <v>189</v>
      </c>
      <c r="K27" s="83" t="s">
        <v>188</v>
      </c>
      <c r="L27" s="83" t="s">
        <v>189</v>
      </c>
      <c r="M27" s="83" t="s">
        <v>191</v>
      </c>
      <c r="N27" s="83" t="s">
        <v>188</v>
      </c>
      <c r="O27" s="83" t="s">
        <v>189</v>
      </c>
      <c r="P27" s="83" t="s">
        <v>188</v>
      </c>
      <c r="Q27" s="83" t="s">
        <v>189</v>
      </c>
      <c r="R27" s="83" t="s">
        <v>191</v>
      </c>
      <c r="S27" s="83" t="s">
        <v>188</v>
      </c>
      <c r="T27" s="83" t="s">
        <v>189</v>
      </c>
      <c r="U27" s="84" t="s">
        <v>192</v>
      </c>
      <c r="V27" s="84" t="s">
        <v>193</v>
      </c>
      <c r="W27" s="83" t="s">
        <v>194</v>
      </c>
      <c r="X27" s="84" t="s">
        <v>193</v>
      </c>
      <c r="Y27" s="84" t="s">
        <v>195</v>
      </c>
      <c r="Z27" s="83" t="s">
        <v>196</v>
      </c>
      <c r="AA27" s="83" t="s">
        <v>188</v>
      </c>
      <c r="AB27" s="83" t="s">
        <v>189</v>
      </c>
      <c r="AC27" s="84" t="s">
        <v>197</v>
      </c>
      <c r="AD27" s="83" t="s">
        <v>188</v>
      </c>
      <c r="AE27" s="83" t="s">
        <v>189</v>
      </c>
      <c r="AF27" s="83" t="s">
        <v>196</v>
      </c>
      <c r="AG27" s="83" t="s">
        <v>191</v>
      </c>
      <c r="AH27" s="83" t="s">
        <v>188</v>
      </c>
      <c r="AI27" s="83" t="s">
        <v>189</v>
      </c>
      <c r="AJ27" s="83" t="s">
        <v>188</v>
      </c>
      <c r="AK27" s="83" t="s">
        <v>189</v>
      </c>
      <c r="AL27" s="83" t="s">
        <v>191</v>
      </c>
      <c r="AM27" s="83" t="s">
        <v>188</v>
      </c>
      <c r="AN27" s="83" t="s">
        <v>189</v>
      </c>
      <c r="AO27" s="83" t="s">
        <v>188</v>
      </c>
      <c r="AP27" s="83" t="s">
        <v>189</v>
      </c>
      <c r="AQ27" s="83" t="s">
        <v>189</v>
      </c>
      <c r="AR27" s="83" t="s">
        <v>198</v>
      </c>
      <c r="AS27" s="83" t="s">
        <v>199</v>
      </c>
      <c r="AT27" s="83" t="s">
        <v>200</v>
      </c>
      <c r="AU27" s="83" t="s">
        <v>201</v>
      </c>
      <c r="AV27" s="84" t="s">
        <v>202</v>
      </c>
      <c r="AW27" s="84" t="s">
        <v>203</v>
      </c>
      <c r="AX27" s="84" t="s">
        <v>204</v>
      </c>
      <c r="AY27" s="84" t="s">
        <v>205</v>
      </c>
      <c r="AZ27" s="83" t="s">
        <v>188</v>
      </c>
      <c r="BA27" s="83" t="s">
        <v>189</v>
      </c>
      <c r="BB27" s="83" t="s">
        <v>206</v>
      </c>
      <c r="BC27" s="83" t="s">
        <v>207</v>
      </c>
      <c r="BD27" s="83" t="s">
        <v>208</v>
      </c>
      <c r="BE27" s="83" t="s">
        <v>209</v>
      </c>
      <c r="BF27" s="84" t="s">
        <v>202</v>
      </c>
      <c r="BG27" s="84" t="s">
        <v>203</v>
      </c>
      <c r="BH27" s="83" t="s">
        <v>188</v>
      </c>
      <c r="BI27" s="83" t="s">
        <v>189</v>
      </c>
      <c r="BJ27" s="83" t="s">
        <v>206</v>
      </c>
      <c r="BK27" s="83" t="s">
        <v>207</v>
      </c>
      <c r="BL27" s="84" t="s">
        <v>202</v>
      </c>
      <c r="BM27" s="85" t="s">
        <v>203</v>
      </c>
      <c r="BN27" s="83" t="s">
        <v>188</v>
      </c>
      <c r="BO27" s="83" t="s">
        <v>189</v>
      </c>
      <c r="BP27" s="84" t="s">
        <v>202</v>
      </c>
      <c r="BQ27" s="84" t="s">
        <v>203</v>
      </c>
      <c r="BR27" s="83" t="s">
        <v>188</v>
      </c>
      <c r="BS27" s="83" t="s">
        <v>189</v>
      </c>
    </row>
    <row r="28" spans="2:71" s="2" customFormat="1" ht="22.5" customHeight="1" x14ac:dyDescent="0.25">
      <c r="B28" s="321"/>
      <c r="C28" s="321"/>
      <c r="D28" s="19" t="s">
        <v>130</v>
      </c>
      <c r="E28" s="19" t="s">
        <v>211</v>
      </c>
      <c r="F28" s="19" t="s">
        <v>130</v>
      </c>
      <c r="G28" s="19" t="s">
        <v>211</v>
      </c>
      <c r="H28" s="19" t="s">
        <v>130</v>
      </c>
      <c r="I28" s="19" t="s">
        <v>130</v>
      </c>
      <c r="J28" s="19" t="s">
        <v>211</v>
      </c>
      <c r="K28" s="19" t="s">
        <v>130</v>
      </c>
      <c r="L28" s="19" t="s">
        <v>211</v>
      </c>
      <c r="M28" s="98" t="s">
        <v>212</v>
      </c>
      <c r="N28" s="19" t="s">
        <v>130</v>
      </c>
      <c r="O28" s="19" t="s">
        <v>211</v>
      </c>
      <c r="P28" s="19" t="s">
        <v>130</v>
      </c>
      <c r="Q28" s="19" t="s">
        <v>211</v>
      </c>
      <c r="R28" s="98" t="s">
        <v>213</v>
      </c>
      <c r="S28" s="19" t="s">
        <v>130</v>
      </c>
      <c r="T28" s="19" t="s">
        <v>211</v>
      </c>
      <c r="U28" s="19" t="s">
        <v>214</v>
      </c>
      <c r="V28" s="19" t="s">
        <v>214</v>
      </c>
      <c r="W28" s="19" t="s">
        <v>213</v>
      </c>
      <c r="X28" s="19" t="s">
        <v>214</v>
      </c>
      <c r="Y28" s="19" t="s">
        <v>214</v>
      </c>
      <c r="Z28" s="19" t="s">
        <v>215</v>
      </c>
      <c r="AA28" s="19" t="s">
        <v>130</v>
      </c>
      <c r="AB28" s="19" t="s">
        <v>211</v>
      </c>
      <c r="AC28" s="19" t="s">
        <v>214</v>
      </c>
      <c r="AD28" s="19" t="s">
        <v>130</v>
      </c>
      <c r="AE28" s="19" t="s">
        <v>211</v>
      </c>
      <c r="AF28" s="19" t="s">
        <v>215</v>
      </c>
      <c r="AG28" s="98">
        <v>1.5625E-2</v>
      </c>
      <c r="AH28" s="19" t="s">
        <v>130</v>
      </c>
      <c r="AI28" s="19" t="s">
        <v>211</v>
      </c>
      <c r="AJ28" s="19" t="s">
        <v>130</v>
      </c>
      <c r="AK28" s="19" t="s">
        <v>211</v>
      </c>
      <c r="AL28" s="98">
        <v>1.5625E-2</v>
      </c>
      <c r="AM28" s="19" t="s">
        <v>130</v>
      </c>
      <c r="AN28" s="19" t="s">
        <v>211</v>
      </c>
      <c r="AO28" s="19" t="s">
        <v>130</v>
      </c>
      <c r="AP28" s="19" t="s">
        <v>211</v>
      </c>
      <c r="AQ28" s="19" t="s">
        <v>211</v>
      </c>
      <c r="AR28" s="19" t="s">
        <v>132</v>
      </c>
      <c r="AS28" s="19" t="s">
        <v>216</v>
      </c>
      <c r="AT28" s="19" t="s">
        <v>217</v>
      </c>
      <c r="AU28" s="19" t="s">
        <v>218</v>
      </c>
      <c r="AV28" s="19" t="s">
        <v>214</v>
      </c>
      <c r="AW28" s="19" t="s">
        <v>214</v>
      </c>
      <c r="AX28" s="19" t="s">
        <v>214</v>
      </c>
      <c r="AY28" s="19" t="s">
        <v>214</v>
      </c>
      <c r="AZ28" s="19" t="s">
        <v>130</v>
      </c>
      <c r="BA28" s="19" t="s">
        <v>211</v>
      </c>
      <c r="BB28" s="19" t="s">
        <v>219</v>
      </c>
      <c r="BC28" s="19" t="s">
        <v>219</v>
      </c>
      <c r="BD28" s="19" t="s">
        <v>219</v>
      </c>
      <c r="BE28" s="19" t="s">
        <v>219</v>
      </c>
      <c r="BF28" s="19" t="s">
        <v>214</v>
      </c>
      <c r="BG28" s="19" t="s">
        <v>214</v>
      </c>
      <c r="BH28" s="19" t="s">
        <v>130</v>
      </c>
      <c r="BI28" s="22" t="s">
        <v>211</v>
      </c>
      <c r="BJ28" s="19" t="s">
        <v>219</v>
      </c>
      <c r="BK28" s="19" t="s">
        <v>219</v>
      </c>
      <c r="BL28" s="19" t="s">
        <v>214</v>
      </c>
      <c r="BM28" s="19" t="s">
        <v>214</v>
      </c>
      <c r="BN28" s="22" t="s">
        <v>130</v>
      </c>
      <c r="BO28" s="19" t="s">
        <v>211</v>
      </c>
      <c r="BP28" s="19" t="s">
        <v>214</v>
      </c>
      <c r="BQ28" s="19" t="s">
        <v>214</v>
      </c>
      <c r="BR28" s="19" t="s">
        <v>130</v>
      </c>
      <c r="BS28" s="19" t="s">
        <v>211</v>
      </c>
    </row>
    <row r="29" spans="2:71" ht="22.5" customHeight="1" x14ac:dyDescent="0.25">
      <c r="B29" s="417">
        <v>45311.416666666664</v>
      </c>
      <c r="C29" s="417"/>
      <c r="D29" s="65">
        <v>228.4261208847966</v>
      </c>
      <c r="E29" s="65">
        <v>77.691896126494456</v>
      </c>
      <c r="F29" s="65"/>
      <c r="G29" s="65">
        <v>75.609107971191406</v>
      </c>
      <c r="H29" s="65">
        <v>85.819899708503414</v>
      </c>
      <c r="I29" s="65" t="s">
        <v>220</v>
      </c>
      <c r="J29" s="65" t="s">
        <v>220</v>
      </c>
      <c r="K29" s="65" t="s">
        <v>220</v>
      </c>
      <c r="L29" s="65" t="s">
        <v>220</v>
      </c>
      <c r="M29" s="65" t="s">
        <v>220</v>
      </c>
      <c r="N29" s="65">
        <v>33.328355115033546</v>
      </c>
      <c r="O29" s="65" t="s">
        <v>220</v>
      </c>
      <c r="P29" s="65">
        <v>8.6686568394044166</v>
      </c>
      <c r="Q29" s="65">
        <v>72.390813182519196</v>
      </c>
      <c r="R29" s="65">
        <v>26.045982360839844</v>
      </c>
      <c r="S29" s="65">
        <v>7.6661991077594358</v>
      </c>
      <c r="T29" s="65">
        <v>97.749354615796776</v>
      </c>
      <c r="U29" s="244">
        <v>33.299999999999997</v>
      </c>
      <c r="V29" s="244">
        <v>14.097</v>
      </c>
      <c r="W29" s="244"/>
      <c r="X29" s="244">
        <v>152.9</v>
      </c>
      <c r="Y29" s="244">
        <v>1264.9000000000001</v>
      </c>
      <c r="Z29" s="151">
        <v>1</v>
      </c>
      <c r="AA29" s="151" t="s">
        <v>1113</v>
      </c>
      <c r="AB29" s="151" t="s">
        <v>1113</v>
      </c>
      <c r="AC29" s="65">
        <v>0</v>
      </c>
      <c r="AD29" s="151" t="s">
        <v>1113</v>
      </c>
      <c r="AE29" s="65" t="s">
        <v>220</v>
      </c>
      <c r="AF29" s="65" t="s">
        <v>220</v>
      </c>
      <c r="AG29" s="151" t="s">
        <v>1113</v>
      </c>
      <c r="AH29" s="65" t="s">
        <v>220</v>
      </c>
      <c r="AI29" s="65" t="s">
        <v>220</v>
      </c>
      <c r="AJ29" s="65" t="s">
        <v>220</v>
      </c>
      <c r="AK29" s="65" t="s">
        <v>220</v>
      </c>
      <c r="AL29" s="65" t="s">
        <v>220</v>
      </c>
      <c r="AM29" s="65">
        <v>81.603369185796879</v>
      </c>
      <c r="AN29" s="65">
        <v>73.800003051757813</v>
      </c>
      <c r="AO29" s="65">
        <v>194.75529019957162</v>
      </c>
      <c r="AP29" s="65"/>
      <c r="AQ29" s="65"/>
      <c r="AR29" s="65">
        <v>170.04363205467371</v>
      </c>
      <c r="AS29" s="65"/>
      <c r="AT29" s="65"/>
      <c r="AU29" s="65">
        <v>55</v>
      </c>
      <c r="AV29" s="123"/>
      <c r="AW29" s="65">
        <v>33.299999999999997</v>
      </c>
      <c r="AX29" s="65" t="s">
        <v>220</v>
      </c>
      <c r="AY29" s="65" t="s">
        <v>220</v>
      </c>
      <c r="AZ29" s="65">
        <v>7.749871999999999</v>
      </c>
      <c r="BA29" s="65">
        <v>97.6</v>
      </c>
      <c r="BB29" s="65" t="s">
        <v>220</v>
      </c>
      <c r="BC29" s="65" t="s">
        <v>220</v>
      </c>
      <c r="BD29" s="65" t="s">
        <v>220</v>
      </c>
      <c r="BE29" s="65" t="s">
        <v>220</v>
      </c>
      <c r="BF29" s="65" t="s">
        <v>220</v>
      </c>
      <c r="BG29" s="65">
        <v>152.9</v>
      </c>
      <c r="BH29" s="65" t="s">
        <v>220</v>
      </c>
      <c r="BI29" s="65" t="s">
        <v>220</v>
      </c>
      <c r="BJ29" s="65" t="s">
        <v>220</v>
      </c>
      <c r="BK29" s="65" t="s">
        <v>220</v>
      </c>
      <c r="BL29" s="124"/>
      <c r="BM29" s="65">
        <v>1264.9000000000001</v>
      </c>
      <c r="BN29" s="151">
        <v>8.5219137533461602</v>
      </c>
      <c r="BO29" s="151">
        <v>94.944393949080862</v>
      </c>
      <c r="BP29" s="124"/>
      <c r="BQ29" s="65">
        <v>0</v>
      </c>
      <c r="BR29" s="124"/>
      <c r="BS29" s="124"/>
    </row>
    <row r="30" spans="2:71" ht="22.5" customHeight="1" x14ac:dyDescent="0.25">
      <c r="B30" s="314">
        <v>45311.458333333328</v>
      </c>
      <c r="C30" s="315"/>
      <c r="D30" s="65">
        <v>228.43097813773755</v>
      </c>
      <c r="E30" s="65">
        <v>77.691998103106471</v>
      </c>
      <c r="F30" s="65"/>
      <c r="G30" s="65">
        <v>75.609107971191406</v>
      </c>
      <c r="H30" s="65">
        <v>84.910386111225947</v>
      </c>
      <c r="I30" s="65" t="s">
        <v>220</v>
      </c>
      <c r="J30" s="65" t="s">
        <v>220</v>
      </c>
      <c r="K30" s="65" t="s">
        <v>220</v>
      </c>
      <c r="L30" s="65" t="s">
        <v>220</v>
      </c>
      <c r="M30" s="65" t="s">
        <v>220</v>
      </c>
      <c r="N30" s="65">
        <v>33.326704357746856</v>
      </c>
      <c r="O30" s="65" t="s">
        <v>220</v>
      </c>
      <c r="P30" s="65">
        <v>8.4970193188485617</v>
      </c>
      <c r="Q30" s="65">
        <v>72.395215872426206</v>
      </c>
      <c r="R30" s="65">
        <v>26.045982360839844</v>
      </c>
      <c r="S30" s="65">
        <v>7.4998794038363901</v>
      </c>
      <c r="T30" s="65">
        <v>97.59592749708618</v>
      </c>
      <c r="U30" s="244">
        <v>35.299999999999997</v>
      </c>
      <c r="V30" s="244">
        <v>14.943666666666665</v>
      </c>
      <c r="W30" s="244"/>
      <c r="X30" s="244">
        <v>150.80000000000001</v>
      </c>
      <c r="Y30" s="244">
        <v>1269.4000000000001</v>
      </c>
      <c r="Z30" s="65"/>
      <c r="AA30" s="151" t="s">
        <v>1113</v>
      </c>
      <c r="AB30" s="151" t="s">
        <v>1113</v>
      </c>
      <c r="AC30" s="65">
        <v>0</v>
      </c>
      <c r="AD30" s="151" t="s">
        <v>1113</v>
      </c>
      <c r="AE30" s="65" t="s">
        <v>220</v>
      </c>
      <c r="AF30" s="65" t="s">
        <v>220</v>
      </c>
      <c r="AG30" s="151" t="s">
        <v>1113</v>
      </c>
      <c r="AH30" s="65" t="s">
        <v>220</v>
      </c>
      <c r="AI30" s="65" t="s">
        <v>220</v>
      </c>
      <c r="AJ30" s="65" t="s">
        <v>220</v>
      </c>
      <c r="AK30" s="65" t="s">
        <v>220</v>
      </c>
      <c r="AL30" s="65" t="s">
        <v>220</v>
      </c>
      <c r="AM30" s="65">
        <v>81.612784497769766</v>
      </c>
      <c r="AN30" s="65">
        <v>73.800003051757813</v>
      </c>
      <c r="AO30" s="65">
        <v>194.73587287756311</v>
      </c>
      <c r="AP30" s="65"/>
      <c r="AQ30" s="65"/>
      <c r="AR30" s="65">
        <v>169.89822310405646</v>
      </c>
      <c r="AS30" s="65"/>
      <c r="AT30" s="65"/>
      <c r="AU30" s="65">
        <v>55</v>
      </c>
      <c r="AV30" s="123"/>
      <c r="AW30" s="65">
        <v>35.299999999999997</v>
      </c>
      <c r="AX30" s="65" t="s">
        <v>220</v>
      </c>
      <c r="AY30" s="65" t="s">
        <v>220</v>
      </c>
      <c r="AZ30" s="65">
        <v>7.545928</v>
      </c>
      <c r="BA30" s="65">
        <v>97.2</v>
      </c>
      <c r="BB30" s="65" t="s">
        <v>220</v>
      </c>
      <c r="BC30" s="65" t="s">
        <v>220</v>
      </c>
      <c r="BD30" s="65" t="s">
        <v>220</v>
      </c>
      <c r="BE30" s="65" t="s">
        <v>220</v>
      </c>
      <c r="BF30" s="65" t="s">
        <v>220</v>
      </c>
      <c r="BG30" s="65">
        <v>150.80000000000001</v>
      </c>
      <c r="BH30" s="65" t="s">
        <v>220</v>
      </c>
      <c r="BI30" s="65" t="s">
        <v>220</v>
      </c>
      <c r="BJ30" s="65" t="s">
        <v>220</v>
      </c>
      <c r="BK30" s="65" t="s">
        <v>220</v>
      </c>
      <c r="BL30" s="124"/>
      <c r="BM30" s="65">
        <v>1269.4000000000001</v>
      </c>
      <c r="BN30" s="151">
        <v>8.3625004344383882</v>
      </c>
      <c r="BO30" s="151">
        <v>94.480906815116796</v>
      </c>
      <c r="BP30" s="124"/>
      <c r="BQ30" s="65">
        <v>0</v>
      </c>
      <c r="BR30" s="124"/>
      <c r="BS30" s="124"/>
    </row>
    <row r="31" spans="2:71" ht="22.5" customHeight="1" x14ac:dyDescent="0.25">
      <c r="B31" s="314">
        <v>45311.499999999993</v>
      </c>
      <c r="C31" s="315"/>
      <c r="D31" s="65">
        <v>228.43765099521929</v>
      </c>
      <c r="E31" s="65">
        <v>77.69194787698251</v>
      </c>
      <c r="F31" s="65"/>
      <c r="G31" s="65">
        <v>75.609107971191406</v>
      </c>
      <c r="H31" s="65">
        <v>82.648430950317788</v>
      </c>
      <c r="I31" s="65" t="s">
        <v>220</v>
      </c>
      <c r="J31" s="65" t="s">
        <v>220</v>
      </c>
      <c r="K31" s="65" t="s">
        <v>220</v>
      </c>
      <c r="L31" s="65" t="s">
        <v>220</v>
      </c>
      <c r="M31" s="65" t="s">
        <v>220</v>
      </c>
      <c r="N31" s="65">
        <v>33.319108721435498</v>
      </c>
      <c r="O31" s="65" t="s">
        <v>220</v>
      </c>
      <c r="P31" s="65">
        <v>8.5276504898429621</v>
      </c>
      <c r="Q31" s="65">
        <v>72.399618562333202</v>
      </c>
      <c r="R31" s="65">
        <v>26.045982360839844</v>
      </c>
      <c r="S31" s="65">
        <v>7.5185510356866629</v>
      </c>
      <c r="T31" s="65">
        <v>97.204209753980109</v>
      </c>
      <c r="U31" s="244">
        <v>35.4</v>
      </c>
      <c r="V31" s="244">
        <v>14.985999999999999</v>
      </c>
      <c r="W31" s="244"/>
      <c r="X31" s="244">
        <v>150.80000000000001</v>
      </c>
      <c r="Y31" s="244">
        <v>1253.9000000000001</v>
      </c>
      <c r="Z31" s="65"/>
      <c r="AA31" s="151" t="s">
        <v>1113</v>
      </c>
      <c r="AB31" s="151" t="s">
        <v>1113</v>
      </c>
      <c r="AC31" s="65">
        <v>0</v>
      </c>
      <c r="AD31" s="151" t="s">
        <v>1113</v>
      </c>
      <c r="AE31" s="65" t="s">
        <v>220</v>
      </c>
      <c r="AF31" s="65" t="s">
        <v>220</v>
      </c>
      <c r="AG31" s="151" t="s">
        <v>1113</v>
      </c>
      <c r="AH31" s="65" t="s">
        <v>220</v>
      </c>
      <c r="AI31" s="65" t="s">
        <v>220</v>
      </c>
      <c r="AJ31" s="65" t="s">
        <v>220</v>
      </c>
      <c r="AK31" s="65" t="s">
        <v>220</v>
      </c>
      <c r="AL31" s="65" t="s">
        <v>220</v>
      </c>
      <c r="AM31" s="65">
        <v>81.622199809742654</v>
      </c>
      <c r="AN31" s="65">
        <v>73.800003051757813</v>
      </c>
      <c r="AO31" s="65">
        <v>194.72734808066173</v>
      </c>
      <c r="AP31" s="65"/>
      <c r="AQ31" s="65"/>
      <c r="AR31" s="65">
        <v>169.86308201058202</v>
      </c>
      <c r="AS31" s="65"/>
      <c r="AT31" s="65"/>
      <c r="AU31" s="65">
        <v>55</v>
      </c>
      <c r="AV31" s="123"/>
      <c r="AW31" s="65">
        <v>35.4</v>
      </c>
      <c r="AX31" s="65" t="s">
        <v>220</v>
      </c>
      <c r="AY31" s="65" t="s">
        <v>220</v>
      </c>
      <c r="AZ31" s="65">
        <v>7.6478999999999999</v>
      </c>
      <c r="BA31" s="65">
        <v>97.5</v>
      </c>
      <c r="BB31" s="65" t="s">
        <v>220</v>
      </c>
      <c r="BC31" s="65" t="s">
        <v>220</v>
      </c>
      <c r="BD31" s="65" t="s">
        <v>220</v>
      </c>
      <c r="BE31" s="65" t="s">
        <v>220</v>
      </c>
      <c r="BF31" s="65" t="s">
        <v>220</v>
      </c>
      <c r="BG31" s="65">
        <v>150.80000000000001</v>
      </c>
      <c r="BH31" s="65" t="s">
        <v>220</v>
      </c>
      <c r="BI31" s="65" t="s">
        <v>220</v>
      </c>
      <c r="BJ31" s="65" t="s">
        <v>220</v>
      </c>
      <c r="BK31" s="65" t="s">
        <v>220</v>
      </c>
      <c r="BL31" s="124"/>
      <c r="BM31" s="65">
        <v>1253.9000000000001</v>
      </c>
      <c r="BN31" s="151">
        <v>8.3859004700978588</v>
      </c>
      <c r="BO31" s="151">
        <v>95.188134583214946</v>
      </c>
      <c r="BP31" s="124"/>
      <c r="BQ31" s="65">
        <v>0</v>
      </c>
      <c r="BR31" s="124"/>
      <c r="BS31" s="124"/>
    </row>
    <row r="32" spans="2:71" ht="22.5" customHeight="1" x14ac:dyDescent="0.25">
      <c r="B32" s="314">
        <v>45311.541666666657</v>
      </c>
      <c r="C32" s="315"/>
      <c r="D32" s="65">
        <v>228.44393605456742</v>
      </c>
      <c r="E32" s="65">
        <v>77.6916901444866</v>
      </c>
      <c r="F32" s="65"/>
      <c r="G32" s="65">
        <v>75.609107971191406</v>
      </c>
      <c r="H32" s="65">
        <v>81.001364083859968</v>
      </c>
      <c r="I32" s="65" t="s">
        <v>220</v>
      </c>
      <c r="J32" s="65" t="s">
        <v>220</v>
      </c>
      <c r="K32" s="65" t="s">
        <v>220</v>
      </c>
      <c r="L32" s="65" t="s">
        <v>220</v>
      </c>
      <c r="M32" s="65" t="s">
        <v>220</v>
      </c>
      <c r="N32" s="65">
        <v>33.358676161896327</v>
      </c>
      <c r="O32" s="65" t="s">
        <v>220</v>
      </c>
      <c r="P32" s="65">
        <v>8.6948624828530345</v>
      </c>
      <c r="Q32" s="65">
        <v>72.404021252240199</v>
      </c>
      <c r="R32" s="65">
        <v>26.045982360839844</v>
      </c>
      <c r="S32" s="65">
        <v>7.6874384258349586</v>
      </c>
      <c r="T32" s="65">
        <v>97.476391766079018</v>
      </c>
      <c r="U32" s="244">
        <v>33.1</v>
      </c>
      <c r="V32" s="244">
        <v>14.012333333333334</v>
      </c>
      <c r="W32" s="244"/>
      <c r="X32" s="244">
        <v>153</v>
      </c>
      <c r="Y32" s="244">
        <v>1252</v>
      </c>
      <c r="Z32" s="65"/>
      <c r="AA32" s="151" t="s">
        <v>1113</v>
      </c>
      <c r="AB32" s="151" t="s">
        <v>1113</v>
      </c>
      <c r="AC32" s="65">
        <v>0</v>
      </c>
      <c r="AD32" s="151" t="s">
        <v>1113</v>
      </c>
      <c r="AE32" s="65" t="s">
        <v>220</v>
      </c>
      <c r="AF32" s="65" t="s">
        <v>220</v>
      </c>
      <c r="AG32" s="151" t="s">
        <v>1113</v>
      </c>
      <c r="AH32" s="65" t="s">
        <v>220</v>
      </c>
      <c r="AI32" s="65" t="s">
        <v>220</v>
      </c>
      <c r="AJ32" s="65" t="s">
        <v>220</v>
      </c>
      <c r="AK32" s="65" t="s">
        <v>220</v>
      </c>
      <c r="AL32" s="65" t="s">
        <v>220</v>
      </c>
      <c r="AM32" s="65">
        <v>81.631615121715541</v>
      </c>
      <c r="AN32" s="65">
        <v>73.800003051757813</v>
      </c>
      <c r="AO32" s="65">
        <v>194.71796629501631</v>
      </c>
      <c r="AP32" s="65"/>
      <c r="AQ32" s="65"/>
      <c r="AR32" s="65">
        <v>169.74258432539682</v>
      </c>
      <c r="AS32" s="65"/>
      <c r="AT32" s="65"/>
      <c r="AU32" s="65">
        <v>55</v>
      </c>
      <c r="AV32" s="123"/>
      <c r="AW32" s="65">
        <v>33.1</v>
      </c>
      <c r="AX32" s="65" t="s">
        <v>220</v>
      </c>
      <c r="AY32" s="65" t="s">
        <v>220</v>
      </c>
      <c r="AZ32" s="65">
        <v>7.749871999999999</v>
      </c>
      <c r="BA32" s="65">
        <v>97.2</v>
      </c>
      <c r="BB32" s="65" t="s">
        <v>220</v>
      </c>
      <c r="BC32" s="65" t="s">
        <v>220</v>
      </c>
      <c r="BD32" s="65" t="s">
        <v>220</v>
      </c>
      <c r="BE32" s="65" t="s">
        <v>220</v>
      </c>
      <c r="BF32" s="65" t="s">
        <v>220</v>
      </c>
      <c r="BG32" s="65">
        <v>153</v>
      </c>
      <c r="BH32" s="65" t="s">
        <v>220</v>
      </c>
      <c r="BI32" s="65" t="s">
        <v>220</v>
      </c>
      <c r="BJ32" s="65" t="s">
        <v>220</v>
      </c>
      <c r="BK32" s="65" t="s">
        <v>220</v>
      </c>
      <c r="BL32" s="124"/>
      <c r="BM32" s="65">
        <v>1252</v>
      </c>
      <c r="BN32" s="151">
        <v>8.5491955874602006</v>
      </c>
      <c r="BO32" s="151">
        <v>95.66294312351377</v>
      </c>
      <c r="BP32" s="124"/>
      <c r="BQ32" s="65">
        <v>0</v>
      </c>
      <c r="BR32" s="124"/>
      <c r="BS32" s="124"/>
    </row>
    <row r="33" spans="2:71" ht="22.5" customHeight="1" x14ac:dyDescent="0.25">
      <c r="B33" s="314">
        <v>45311.583333333321</v>
      </c>
      <c r="C33" s="315"/>
      <c r="D33" s="65">
        <v>228.44570491516447</v>
      </c>
      <c r="E33" s="65">
        <v>77.69175779436253</v>
      </c>
      <c r="F33" s="65"/>
      <c r="G33" s="65">
        <v>75.609107971191406</v>
      </c>
      <c r="H33" s="65">
        <v>75.635072177639799</v>
      </c>
      <c r="I33" s="65" t="s">
        <v>220</v>
      </c>
      <c r="J33" s="65" t="s">
        <v>220</v>
      </c>
      <c r="K33" s="65" t="s">
        <v>220</v>
      </c>
      <c r="L33" s="65" t="s">
        <v>220</v>
      </c>
      <c r="M33" s="65" t="s">
        <v>220</v>
      </c>
      <c r="N33" s="65">
        <v>33.326660588539013</v>
      </c>
      <c r="O33" s="65" t="s">
        <v>220</v>
      </c>
      <c r="P33" s="65">
        <v>8.8246198374721718</v>
      </c>
      <c r="Q33" s="65">
        <v>72.408034604896358</v>
      </c>
      <c r="R33" s="65">
        <v>26.045982360839844</v>
      </c>
      <c r="S33" s="65">
        <v>7.8333724355433132</v>
      </c>
      <c r="T33" s="65">
        <v>97.148709727704443</v>
      </c>
      <c r="U33" s="244">
        <v>31.3</v>
      </c>
      <c r="V33" s="65">
        <v>13.250333333333334</v>
      </c>
      <c r="W33" s="244"/>
      <c r="X33" s="65">
        <v>154.9</v>
      </c>
      <c r="Y33" s="65">
        <v>1242.7</v>
      </c>
      <c r="Z33" s="65"/>
      <c r="AA33" s="151" t="s">
        <v>1113</v>
      </c>
      <c r="AB33" s="151" t="s">
        <v>1113</v>
      </c>
      <c r="AC33" s="65">
        <v>0</v>
      </c>
      <c r="AD33" s="151" t="s">
        <v>1113</v>
      </c>
      <c r="AE33" s="65" t="s">
        <v>220</v>
      </c>
      <c r="AF33" s="65" t="s">
        <v>220</v>
      </c>
      <c r="AG33" s="151" t="s">
        <v>1113</v>
      </c>
      <c r="AH33" s="65" t="s">
        <v>220</v>
      </c>
      <c r="AI33" s="65" t="s">
        <v>220</v>
      </c>
      <c r="AJ33" s="65" t="s">
        <v>220</v>
      </c>
      <c r="AK33" s="65" t="s">
        <v>220</v>
      </c>
      <c r="AL33" s="65" t="s">
        <v>220</v>
      </c>
      <c r="AM33" s="65">
        <v>81.641030433688414</v>
      </c>
      <c r="AN33" s="65">
        <v>73.800003051757813</v>
      </c>
      <c r="AO33" s="65">
        <v>194.86130543512161</v>
      </c>
      <c r="AP33" s="65"/>
      <c r="AQ33" s="65"/>
      <c r="AR33" s="65">
        <v>169.79024395743144</v>
      </c>
      <c r="AS33" s="65"/>
      <c r="AT33" s="65"/>
      <c r="AU33" s="65">
        <v>55</v>
      </c>
      <c r="AV33" s="123"/>
      <c r="AW33" s="65">
        <v>31.3</v>
      </c>
      <c r="AX33" s="65" t="s">
        <v>220</v>
      </c>
      <c r="AY33" s="65" t="s">
        <v>220</v>
      </c>
      <c r="AZ33" s="65">
        <v>7.9538159999999998</v>
      </c>
      <c r="BA33" s="65">
        <v>96.6</v>
      </c>
      <c r="BB33" s="65" t="s">
        <v>220</v>
      </c>
      <c r="BC33" s="65" t="s">
        <v>220</v>
      </c>
      <c r="BD33" s="65" t="s">
        <v>220</v>
      </c>
      <c r="BE33" s="65" t="s">
        <v>220</v>
      </c>
      <c r="BF33" s="65" t="s">
        <v>220</v>
      </c>
      <c r="BG33" s="65">
        <v>154.9</v>
      </c>
      <c r="BH33" s="65" t="s">
        <v>220</v>
      </c>
      <c r="BI33" s="65" t="s">
        <v>220</v>
      </c>
      <c r="BJ33" s="65" t="s">
        <v>220</v>
      </c>
      <c r="BK33" s="65" t="s">
        <v>220</v>
      </c>
      <c r="BL33" s="124"/>
      <c r="BM33" s="65">
        <v>1242.7</v>
      </c>
      <c r="BN33" s="151">
        <v>8.6752520108646802</v>
      </c>
      <c r="BO33" s="151">
        <v>95.540645370685866</v>
      </c>
      <c r="BP33" s="124"/>
      <c r="BQ33" s="65">
        <v>0</v>
      </c>
      <c r="BR33" s="124"/>
      <c r="BS33" s="124"/>
    </row>
    <row r="34" spans="2:71" ht="22.5" customHeight="1" x14ac:dyDescent="0.25">
      <c r="B34" s="314">
        <v>45311.624999999985</v>
      </c>
      <c r="C34" s="315"/>
      <c r="D34" s="65">
        <v>228.43839341869202</v>
      </c>
      <c r="E34" s="65">
        <v>77.691811432149663</v>
      </c>
      <c r="F34" s="65"/>
      <c r="G34" s="65">
        <v>75.609107971191406</v>
      </c>
      <c r="H34" s="65">
        <v>68.499683251015867</v>
      </c>
      <c r="I34" s="65" t="s">
        <v>220</v>
      </c>
      <c r="J34" s="65" t="s">
        <v>220</v>
      </c>
      <c r="K34" s="65" t="s">
        <v>220</v>
      </c>
      <c r="L34" s="65" t="s">
        <v>220</v>
      </c>
      <c r="M34" s="65" t="s">
        <v>220</v>
      </c>
      <c r="N34" s="65">
        <v>33.2462363641894</v>
      </c>
      <c r="O34" s="65" t="s">
        <v>220</v>
      </c>
      <c r="P34" s="65">
        <v>8.829736574431557</v>
      </c>
      <c r="Q34" s="65">
        <v>72.373571140646078</v>
      </c>
      <c r="R34" s="65">
        <v>26.045982360839844</v>
      </c>
      <c r="S34" s="65">
        <v>7.8415958508213945</v>
      </c>
      <c r="T34" s="65">
        <v>96.618123666051815</v>
      </c>
      <c r="U34" s="244">
        <v>31.5</v>
      </c>
      <c r="V34" s="65">
        <v>13.335000000000001</v>
      </c>
      <c r="W34" s="65">
        <v>41</v>
      </c>
      <c r="X34" s="65">
        <v>154.80000000000001</v>
      </c>
      <c r="Y34" s="65">
        <v>1257.8</v>
      </c>
      <c r="Z34" s="65"/>
      <c r="AA34" s="151" t="s">
        <v>1113</v>
      </c>
      <c r="AB34" s="151" t="s">
        <v>1113</v>
      </c>
      <c r="AC34" s="65">
        <v>0</v>
      </c>
      <c r="AD34" s="151" t="s">
        <v>1113</v>
      </c>
      <c r="AE34" s="65" t="s">
        <v>220</v>
      </c>
      <c r="AF34" s="65" t="s">
        <v>220</v>
      </c>
      <c r="AG34" s="151" t="s">
        <v>1113</v>
      </c>
      <c r="AH34" s="65" t="s">
        <v>220</v>
      </c>
      <c r="AI34" s="65" t="s">
        <v>220</v>
      </c>
      <c r="AJ34" s="65" t="s">
        <v>220</v>
      </c>
      <c r="AK34" s="65" t="s">
        <v>220</v>
      </c>
      <c r="AL34" s="65" t="s">
        <v>220</v>
      </c>
      <c r="AM34" s="65">
        <v>81.650445745661315</v>
      </c>
      <c r="AN34" s="65">
        <v>73.800003051757813</v>
      </c>
      <c r="AO34" s="65">
        <v>194.80236575613142</v>
      </c>
      <c r="AP34" s="65"/>
      <c r="AQ34" s="65"/>
      <c r="AR34" s="65">
        <v>169.7993740981241</v>
      </c>
      <c r="AS34" s="65"/>
      <c r="AT34" s="65"/>
      <c r="AU34" s="65">
        <v>55</v>
      </c>
      <c r="AV34" s="123"/>
      <c r="AW34" s="65">
        <v>31.5</v>
      </c>
      <c r="AX34" s="65" t="s">
        <v>220</v>
      </c>
      <c r="AY34" s="65" t="s">
        <v>220</v>
      </c>
      <c r="AZ34" s="65">
        <v>7.9538159999999998</v>
      </c>
      <c r="BA34" s="65">
        <v>97</v>
      </c>
      <c r="BB34" s="65" t="s">
        <v>220</v>
      </c>
      <c r="BC34" s="65" t="s">
        <v>220</v>
      </c>
      <c r="BD34" s="65" t="s">
        <v>220</v>
      </c>
      <c r="BE34" s="65" t="s">
        <v>220</v>
      </c>
      <c r="BF34" s="65" t="s">
        <v>220</v>
      </c>
      <c r="BG34" s="65">
        <v>154.80000000000001</v>
      </c>
      <c r="BH34" s="65" t="s">
        <v>220</v>
      </c>
      <c r="BI34" s="65" t="s">
        <v>220</v>
      </c>
      <c r="BJ34" s="65" t="s">
        <v>220</v>
      </c>
      <c r="BK34" s="65" t="s">
        <v>220</v>
      </c>
      <c r="BL34" s="124"/>
      <c r="BM34" s="65">
        <v>1257.8</v>
      </c>
      <c r="BN34" s="151">
        <v>8.6874647486315837</v>
      </c>
      <c r="BO34" s="151">
        <v>95.780454599069373</v>
      </c>
      <c r="BP34" s="124"/>
      <c r="BQ34" s="65">
        <v>0</v>
      </c>
      <c r="BR34" s="124"/>
      <c r="BS34" s="124"/>
    </row>
    <row r="35" spans="2:71" ht="22.5" customHeight="1" x14ac:dyDescent="0.25">
      <c r="B35" s="314">
        <v>45311.66666666665</v>
      </c>
      <c r="C35" s="315"/>
      <c r="D35" s="65">
        <v>228.42552882353186</v>
      </c>
      <c r="E35" s="65">
        <v>77.691956111272177</v>
      </c>
      <c r="F35" s="65"/>
      <c r="G35" s="65">
        <v>75.609107971191406</v>
      </c>
      <c r="H35" s="65">
        <v>64.37248880596016</v>
      </c>
      <c r="I35" s="65" t="s">
        <v>220</v>
      </c>
      <c r="J35" s="65" t="s">
        <v>220</v>
      </c>
      <c r="K35" s="65" t="s">
        <v>220</v>
      </c>
      <c r="L35" s="65" t="s">
        <v>220</v>
      </c>
      <c r="M35" s="65" t="s">
        <v>220</v>
      </c>
      <c r="N35" s="65">
        <v>33.184152792450547</v>
      </c>
      <c r="O35" s="65" t="s">
        <v>220</v>
      </c>
      <c r="P35" s="65">
        <v>8.8675735707268828</v>
      </c>
      <c r="Q35" s="65">
        <v>72.313620565949577</v>
      </c>
      <c r="R35" s="65">
        <v>26.045982360839844</v>
      </c>
      <c r="S35" s="65">
        <v>7.8697943803021726</v>
      </c>
      <c r="T35" s="65">
        <v>96.976462965601826</v>
      </c>
      <c r="U35" s="244">
        <v>31.4</v>
      </c>
      <c r="V35" s="65">
        <v>13.292666666666666</v>
      </c>
      <c r="W35" s="65">
        <v>43</v>
      </c>
      <c r="X35" s="65">
        <v>154.80000000000001</v>
      </c>
      <c r="Y35" s="65">
        <v>1262.5</v>
      </c>
      <c r="Z35" s="65"/>
      <c r="AA35" s="151" t="s">
        <v>1113</v>
      </c>
      <c r="AB35" s="151" t="s">
        <v>1113</v>
      </c>
      <c r="AC35" s="65">
        <v>0</v>
      </c>
      <c r="AD35" s="151" t="s">
        <v>1113</v>
      </c>
      <c r="AE35" s="65" t="s">
        <v>220</v>
      </c>
      <c r="AF35" s="65" t="s">
        <v>220</v>
      </c>
      <c r="AG35" s="151" t="s">
        <v>1113</v>
      </c>
      <c r="AH35" s="65" t="s">
        <v>220</v>
      </c>
      <c r="AI35" s="65" t="s">
        <v>220</v>
      </c>
      <c r="AJ35" s="65" t="s">
        <v>220</v>
      </c>
      <c r="AK35" s="65" t="s">
        <v>220</v>
      </c>
      <c r="AL35" s="65" t="s">
        <v>220</v>
      </c>
      <c r="AM35" s="65">
        <v>81.659861057634174</v>
      </c>
      <c r="AN35" s="65">
        <v>73.793859538795374</v>
      </c>
      <c r="AO35" s="65">
        <v>194.51250561041974</v>
      </c>
      <c r="AP35" s="65"/>
      <c r="AQ35" s="65"/>
      <c r="AR35" s="65">
        <v>169.8936904761905</v>
      </c>
      <c r="AS35" s="65"/>
      <c r="AT35" s="65"/>
      <c r="AU35" s="65">
        <v>55</v>
      </c>
      <c r="AV35" s="123"/>
      <c r="AW35" s="65">
        <v>31.4</v>
      </c>
      <c r="AX35" s="65" t="s">
        <v>220</v>
      </c>
      <c r="AY35" s="65" t="s">
        <v>220</v>
      </c>
      <c r="AZ35" s="65">
        <v>7.9538159999999998</v>
      </c>
      <c r="BA35" s="65">
        <v>97</v>
      </c>
      <c r="BB35" s="65" t="s">
        <v>220</v>
      </c>
      <c r="BC35" s="65" t="s">
        <v>220</v>
      </c>
      <c r="BD35" s="65" t="s">
        <v>220</v>
      </c>
      <c r="BE35" s="65" t="s">
        <v>220</v>
      </c>
      <c r="BF35" s="65" t="s">
        <v>220</v>
      </c>
      <c r="BG35" s="65">
        <v>154.80000000000001</v>
      </c>
      <c r="BH35" s="65" t="s">
        <v>220</v>
      </c>
      <c r="BI35" s="65" t="s">
        <v>220</v>
      </c>
      <c r="BJ35" s="65" t="s">
        <v>220</v>
      </c>
      <c r="BK35" s="65" t="s">
        <v>220</v>
      </c>
      <c r="BL35" s="124"/>
      <c r="BM35" s="65">
        <v>1262.5</v>
      </c>
      <c r="BN35" s="151">
        <v>8.708769406837888</v>
      </c>
      <c r="BO35" s="151">
        <v>96.23550154656796</v>
      </c>
      <c r="BP35" s="124"/>
      <c r="BQ35" s="65">
        <v>0</v>
      </c>
      <c r="BR35" s="124"/>
      <c r="BS35" s="124"/>
    </row>
    <row r="36" spans="2:71" ht="22.5" customHeight="1" x14ac:dyDescent="0.25">
      <c r="B36" s="314">
        <v>45311.708333333314</v>
      </c>
      <c r="C36" s="315"/>
      <c r="D36" s="65">
        <v>228.43465376104396</v>
      </c>
      <c r="E36" s="65">
        <v>77.691968726573165</v>
      </c>
      <c r="F36" s="65"/>
      <c r="G36" s="65">
        <v>75.609107971191406</v>
      </c>
      <c r="H36" s="65">
        <v>62.244256661708093</v>
      </c>
      <c r="I36" s="65" t="s">
        <v>220</v>
      </c>
      <c r="J36" s="65" t="s">
        <v>220</v>
      </c>
      <c r="K36" s="65" t="s">
        <v>220</v>
      </c>
      <c r="L36" s="65" t="s">
        <v>220</v>
      </c>
      <c r="M36" s="65" t="s">
        <v>220</v>
      </c>
      <c r="N36" s="65">
        <v>33.344383676116266</v>
      </c>
      <c r="O36" s="65" t="s">
        <v>220</v>
      </c>
      <c r="P36" s="65">
        <v>8.7992919638031193</v>
      </c>
      <c r="Q36" s="65">
        <v>72.253669991253091</v>
      </c>
      <c r="R36" s="65">
        <v>26.045982360839844</v>
      </c>
      <c r="S36" s="65">
        <v>7.8187917273095566</v>
      </c>
      <c r="T36" s="65">
        <v>96.992049962002199</v>
      </c>
      <c r="U36" s="65">
        <v>31.9</v>
      </c>
      <c r="V36" s="65">
        <v>13.504333333333333</v>
      </c>
      <c r="W36" s="65">
        <v>43</v>
      </c>
      <c r="X36" s="65">
        <v>154.30000000000001</v>
      </c>
      <c r="Y36" s="65">
        <v>1264.4000000000001</v>
      </c>
      <c r="Z36" s="65"/>
      <c r="AA36" s="151" t="s">
        <v>1113</v>
      </c>
      <c r="AB36" s="151" t="s">
        <v>1113</v>
      </c>
      <c r="AC36" s="65">
        <v>0</v>
      </c>
      <c r="AD36" s="151" t="s">
        <v>1113</v>
      </c>
      <c r="AE36" s="65" t="s">
        <v>220</v>
      </c>
      <c r="AF36" s="65" t="s">
        <v>220</v>
      </c>
      <c r="AG36" s="151" t="s">
        <v>1113</v>
      </c>
      <c r="AH36" s="65" t="s">
        <v>220</v>
      </c>
      <c r="AI36" s="65" t="s">
        <v>220</v>
      </c>
      <c r="AJ36" s="65" t="s">
        <v>220</v>
      </c>
      <c r="AK36" s="65" t="s">
        <v>220</v>
      </c>
      <c r="AL36" s="65" t="s">
        <v>220</v>
      </c>
      <c r="AM36" s="65">
        <v>81.669276369607076</v>
      </c>
      <c r="AN36" s="65">
        <v>73.77438119559568</v>
      </c>
      <c r="AO36" s="65">
        <v>194.76544826233737</v>
      </c>
      <c r="AP36" s="65"/>
      <c r="AQ36" s="65"/>
      <c r="AR36" s="65">
        <v>169.99234126984129</v>
      </c>
      <c r="AS36" s="65"/>
      <c r="AT36" s="65"/>
      <c r="AU36" s="65">
        <v>55</v>
      </c>
      <c r="AV36" s="123"/>
      <c r="AW36" s="65">
        <v>31.9</v>
      </c>
      <c r="AX36" s="65" t="s">
        <v>220</v>
      </c>
      <c r="AY36" s="65" t="s">
        <v>220</v>
      </c>
      <c r="AZ36" s="65">
        <v>7.9538159999999998</v>
      </c>
      <c r="BA36" s="65">
        <v>96.7</v>
      </c>
      <c r="BB36" s="65" t="s">
        <v>220</v>
      </c>
      <c r="BC36" s="65" t="s">
        <v>220</v>
      </c>
      <c r="BD36" s="65" t="s">
        <v>220</v>
      </c>
      <c r="BE36" s="65" t="s">
        <v>220</v>
      </c>
      <c r="BF36" s="65" t="s">
        <v>220</v>
      </c>
      <c r="BG36" s="65">
        <v>154.30000000000001</v>
      </c>
      <c r="BH36" s="65" t="s">
        <v>220</v>
      </c>
      <c r="BI36" s="65" t="s">
        <v>220</v>
      </c>
      <c r="BJ36" s="65" t="s">
        <v>220</v>
      </c>
      <c r="BK36" s="65" t="s">
        <v>220</v>
      </c>
      <c r="BL36" s="124"/>
      <c r="BM36" s="65">
        <v>1264.4000000000001</v>
      </c>
      <c r="BN36" s="151">
        <v>8.6631793945277185</v>
      </c>
      <c r="BO36" s="151">
        <v>96.146082044706731</v>
      </c>
      <c r="BP36" s="124"/>
      <c r="BQ36" s="65">
        <v>0</v>
      </c>
      <c r="BR36" s="124"/>
      <c r="BS36" s="124"/>
    </row>
    <row r="37" spans="2:71" ht="22.5" customHeight="1" x14ac:dyDescent="0.25">
      <c r="B37" s="314">
        <v>45311.749999999978</v>
      </c>
      <c r="C37" s="315"/>
      <c r="D37" s="65">
        <v>228.44919441621636</v>
      </c>
      <c r="E37" s="65">
        <v>77.691865314386504</v>
      </c>
      <c r="F37" s="65"/>
      <c r="G37" s="65">
        <v>75.609107971191406</v>
      </c>
      <c r="H37" s="65">
        <v>61.794399964777298</v>
      </c>
      <c r="I37" s="65" t="s">
        <v>220</v>
      </c>
      <c r="J37" s="65" t="s">
        <v>220</v>
      </c>
      <c r="K37" s="65" t="s">
        <v>220</v>
      </c>
      <c r="L37" s="65" t="s">
        <v>220</v>
      </c>
      <c r="M37" s="65" t="s">
        <v>220</v>
      </c>
      <c r="N37" s="65">
        <v>33.46108283043214</v>
      </c>
      <c r="O37" s="65" t="s">
        <v>220</v>
      </c>
      <c r="P37" s="65">
        <v>8.5945372476373727</v>
      </c>
      <c r="Q37" s="65">
        <v>72.193719416556604</v>
      </c>
      <c r="R37" s="65">
        <v>26.045982360839844</v>
      </c>
      <c r="S37" s="65">
        <v>7.6090453739078514</v>
      </c>
      <c r="T37" s="65">
        <v>96.716361449090286</v>
      </c>
      <c r="U37" s="65">
        <v>35.200000000000003</v>
      </c>
      <c r="V37" s="65">
        <v>14.901333333333335</v>
      </c>
      <c r="W37" s="65"/>
      <c r="X37" s="65">
        <v>150.9</v>
      </c>
      <c r="Y37" s="65">
        <v>1264.0999999999999</v>
      </c>
      <c r="Z37" s="65"/>
      <c r="AA37" s="151" t="s">
        <v>1113</v>
      </c>
      <c r="AB37" s="151" t="s">
        <v>1113</v>
      </c>
      <c r="AC37" s="65">
        <v>0</v>
      </c>
      <c r="AD37" s="151" t="s">
        <v>1113</v>
      </c>
      <c r="AE37" s="65" t="s">
        <v>220</v>
      </c>
      <c r="AF37" s="65" t="s">
        <v>220</v>
      </c>
      <c r="AG37" s="151" t="s">
        <v>1113</v>
      </c>
      <c r="AH37" s="65" t="s">
        <v>220</v>
      </c>
      <c r="AI37" s="65" t="s">
        <v>220</v>
      </c>
      <c r="AJ37" s="65" t="s">
        <v>220</v>
      </c>
      <c r="AK37" s="65" t="s">
        <v>220</v>
      </c>
      <c r="AL37" s="65" t="s">
        <v>220</v>
      </c>
      <c r="AM37" s="65">
        <v>81.677913139894386</v>
      </c>
      <c r="AN37" s="65">
        <v>73.754442007920886</v>
      </c>
      <c r="AO37" s="65">
        <v>194.900552335984</v>
      </c>
      <c r="AP37" s="65"/>
      <c r="AQ37" s="65"/>
      <c r="AR37" s="65">
        <v>170.02672222222222</v>
      </c>
      <c r="AS37" s="65"/>
      <c r="AT37" s="65"/>
      <c r="AU37" s="65">
        <v>55</v>
      </c>
      <c r="AV37" s="123"/>
      <c r="AW37" s="65">
        <v>35.200000000000003</v>
      </c>
      <c r="AX37" s="65" t="s">
        <v>220</v>
      </c>
      <c r="AY37" s="65" t="s">
        <v>220</v>
      </c>
      <c r="AZ37" s="65">
        <v>7.6478999999999999</v>
      </c>
      <c r="BA37" s="65">
        <v>97</v>
      </c>
      <c r="BB37" s="65" t="s">
        <v>220</v>
      </c>
      <c r="BC37" s="65" t="s">
        <v>220</v>
      </c>
      <c r="BD37" s="65" t="s">
        <v>220</v>
      </c>
      <c r="BE37" s="65" t="s">
        <v>220</v>
      </c>
      <c r="BF37" s="65" t="s">
        <v>220</v>
      </c>
      <c r="BG37" s="65">
        <v>150.9</v>
      </c>
      <c r="BH37" s="65" t="s">
        <v>220</v>
      </c>
      <c r="BI37" s="65" t="s">
        <v>220</v>
      </c>
      <c r="BJ37" s="65" t="s">
        <v>220</v>
      </c>
      <c r="BK37" s="65" t="s">
        <v>220</v>
      </c>
      <c r="BL37" s="124"/>
      <c r="BM37" s="65">
        <v>1264.0999999999999</v>
      </c>
      <c r="BN37" s="151">
        <v>8.4544138808338722</v>
      </c>
      <c r="BO37" s="151">
        <v>95.923200552848144</v>
      </c>
      <c r="BP37" s="124"/>
      <c r="BQ37" s="65">
        <v>0</v>
      </c>
      <c r="BR37" s="124"/>
      <c r="BS37" s="124"/>
    </row>
    <row r="38" spans="2:71" ht="22.5" customHeight="1" x14ac:dyDescent="0.25">
      <c r="B38" s="314">
        <v>45311.791666666642</v>
      </c>
      <c r="C38" s="315"/>
      <c r="D38" s="65">
        <v>228.46203545137161</v>
      </c>
      <c r="E38" s="65">
        <v>77.691876877749408</v>
      </c>
      <c r="F38" s="65"/>
      <c r="G38" s="65">
        <v>75.609107971191406</v>
      </c>
      <c r="H38" s="65">
        <v>62.757146280006445</v>
      </c>
      <c r="I38" s="65" t="s">
        <v>220</v>
      </c>
      <c r="J38" s="65" t="s">
        <v>220</v>
      </c>
      <c r="K38" s="65" t="s">
        <v>220</v>
      </c>
      <c r="L38" s="65" t="s">
        <v>220</v>
      </c>
      <c r="M38" s="65" t="s">
        <v>220</v>
      </c>
      <c r="N38" s="65">
        <v>33.559888304962193</v>
      </c>
      <c r="O38" s="65" t="s">
        <v>220</v>
      </c>
      <c r="P38" s="65">
        <v>8.7408463283122</v>
      </c>
      <c r="Q38" s="65">
        <v>72.133768841860103</v>
      </c>
      <c r="R38" s="65">
        <v>26.045982360839844</v>
      </c>
      <c r="S38" s="65">
        <v>7.7468817020647212</v>
      </c>
      <c r="T38" s="65">
        <v>97.019767436899826</v>
      </c>
      <c r="U38" s="65">
        <v>32.6</v>
      </c>
      <c r="V38" s="65">
        <v>13.800666666666668</v>
      </c>
      <c r="W38" s="65"/>
      <c r="X38" s="65">
        <v>153.19999999999999</v>
      </c>
      <c r="Y38" s="65">
        <v>1244.9000000000001</v>
      </c>
      <c r="Z38" s="65"/>
      <c r="AA38" s="151" t="s">
        <v>1113</v>
      </c>
      <c r="AB38" s="151" t="s">
        <v>1113</v>
      </c>
      <c r="AC38" s="65">
        <v>0</v>
      </c>
      <c r="AD38" s="151" t="s">
        <v>1113</v>
      </c>
      <c r="AE38" s="65" t="s">
        <v>220</v>
      </c>
      <c r="AF38" s="65" t="s">
        <v>220</v>
      </c>
      <c r="AG38" s="151" t="s">
        <v>1113</v>
      </c>
      <c r="AH38" s="65" t="s">
        <v>220</v>
      </c>
      <c r="AI38" s="65" t="s">
        <v>220</v>
      </c>
      <c r="AJ38" s="65" t="s">
        <v>220</v>
      </c>
      <c r="AK38" s="65" t="s">
        <v>220</v>
      </c>
      <c r="AL38" s="65" t="s">
        <v>220</v>
      </c>
      <c r="AM38" s="65">
        <v>81.679570444030759</v>
      </c>
      <c r="AN38" s="65">
        <v>73.734502820246092</v>
      </c>
      <c r="AO38" s="65">
        <v>195.10313539479836</v>
      </c>
      <c r="AP38" s="65"/>
      <c r="AQ38" s="65"/>
      <c r="AR38" s="65">
        <v>169.99854761904763</v>
      </c>
      <c r="AS38" s="65"/>
      <c r="AT38" s="65"/>
      <c r="AU38" s="65">
        <v>55</v>
      </c>
      <c r="AV38" s="123"/>
      <c r="AW38" s="65">
        <v>32.6</v>
      </c>
      <c r="AX38" s="65" t="s">
        <v>220</v>
      </c>
      <c r="AY38" s="65" t="s">
        <v>220</v>
      </c>
      <c r="AZ38" s="65">
        <v>7.8518439999999998</v>
      </c>
      <c r="BA38" s="65">
        <v>96.8</v>
      </c>
      <c r="BB38" s="65" t="s">
        <v>220</v>
      </c>
      <c r="BC38" s="65" t="s">
        <v>220</v>
      </c>
      <c r="BD38" s="65" t="s">
        <v>220</v>
      </c>
      <c r="BE38" s="65" t="s">
        <v>220</v>
      </c>
      <c r="BF38" s="65" t="s">
        <v>220</v>
      </c>
      <c r="BG38" s="65">
        <v>153.19999999999999</v>
      </c>
      <c r="BH38" s="65" t="s">
        <v>220</v>
      </c>
      <c r="BI38" s="65" t="s">
        <v>220</v>
      </c>
      <c r="BJ38" s="65" t="s">
        <v>220</v>
      </c>
      <c r="BK38" s="65" t="s">
        <v>220</v>
      </c>
      <c r="BL38" s="124"/>
      <c r="BM38" s="65">
        <v>1244.9000000000001</v>
      </c>
      <c r="BN38" s="151">
        <v>8.5984571314652758</v>
      </c>
      <c r="BO38" s="151">
        <v>95.621755096513979</v>
      </c>
      <c r="BP38" s="124"/>
      <c r="BQ38" s="65">
        <v>0</v>
      </c>
      <c r="BR38" s="124"/>
      <c r="BS38" s="124"/>
    </row>
    <row r="39" spans="2:71" ht="22.5" customHeight="1" x14ac:dyDescent="0.25">
      <c r="B39" s="314"/>
      <c r="C39" s="315"/>
      <c r="D39" s="65"/>
      <c r="E39" s="65"/>
      <c r="F39" s="65"/>
      <c r="G39" s="65"/>
      <c r="H39" s="65"/>
      <c r="I39" s="65"/>
      <c r="J39" s="65"/>
      <c r="K39" s="65"/>
      <c r="L39" s="65"/>
      <c r="M39" s="65"/>
      <c r="N39" s="65"/>
      <c r="O39" s="65"/>
      <c r="P39" s="65"/>
      <c r="Q39" s="65"/>
      <c r="R39" s="65"/>
      <c r="S39" s="65"/>
      <c r="T39" s="65"/>
      <c r="U39" s="65"/>
      <c r="V39" s="65"/>
      <c r="W39" s="65"/>
      <c r="X39" s="65"/>
      <c r="Y39" s="65"/>
      <c r="Z39" s="65"/>
      <c r="AA39" s="151"/>
      <c r="AB39" s="151"/>
      <c r="AC39" s="65"/>
      <c r="AD39" s="151"/>
      <c r="AE39" s="65"/>
      <c r="AF39" s="65"/>
      <c r="AG39" s="151"/>
      <c r="AH39" s="65"/>
      <c r="AI39" s="65"/>
      <c r="AJ39" s="65"/>
      <c r="AK39" s="65"/>
      <c r="AL39" s="65"/>
      <c r="AM39" s="65"/>
      <c r="AN39" s="65"/>
      <c r="AO39" s="65"/>
      <c r="AP39" s="65"/>
      <c r="AQ39" s="65"/>
      <c r="AR39" s="65"/>
      <c r="AS39" s="65"/>
      <c r="AT39" s="65"/>
      <c r="AU39" s="65"/>
      <c r="AV39" s="123"/>
      <c r="AW39" s="65"/>
      <c r="AX39" s="65"/>
      <c r="AY39" s="65"/>
      <c r="AZ39" s="65"/>
      <c r="BA39" s="65"/>
      <c r="BB39" s="65"/>
      <c r="BC39" s="65"/>
      <c r="BD39" s="65"/>
      <c r="BE39" s="65"/>
      <c r="BF39" s="65"/>
      <c r="BG39" s="65"/>
      <c r="BH39" s="65"/>
      <c r="BI39" s="65"/>
      <c r="BJ39" s="65"/>
      <c r="BK39" s="65"/>
      <c r="BL39" s="124"/>
      <c r="BM39" s="65"/>
      <c r="BN39" s="151"/>
      <c r="BO39" s="151"/>
      <c r="BP39" s="124"/>
      <c r="BQ39" s="65"/>
      <c r="BR39" s="124"/>
      <c r="BS39" s="124"/>
    </row>
    <row r="40" spans="2:71" ht="22.5" customHeight="1" x14ac:dyDescent="0.25">
      <c r="B40" s="314"/>
      <c r="C40" s="315"/>
      <c r="D40" s="65"/>
      <c r="E40" s="65"/>
      <c r="F40" s="65"/>
      <c r="G40" s="65"/>
      <c r="H40" s="65"/>
      <c r="I40" s="65"/>
      <c r="J40" s="65"/>
      <c r="K40" s="65"/>
      <c r="L40" s="65"/>
      <c r="M40" s="65"/>
      <c r="N40" s="65"/>
      <c r="O40" s="65"/>
      <c r="P40" s="65"/>
      <c r="Q40" s="65"/>
      <c r="R40" s="65"/>
      <c r="S40" s="65"/>
      <c r="T40" s="65"/>
      <c r="U40" s="65"/>
      <c r="V40" s="65"/>
      <c r="W40" s="65"/>
      <c r="X40" s="65"/>
      <c r="Y40" s="65"/>
      <c r="Z40" s="65"/>
      <c r="AA40" s="151"/>
      <c r="AB40" s="151"/>
      <c r="AC40" s="65"/>
      <c r="AD40" s="151"/>
      <c r="AE40" s="65"/>
      <c r="AF40" s="65"/>
      <c r="AG40" s="151"/>
      <c r="AH40" s="65"/>
      <c r="AI40" s="65"/>
      <c r="AJ40" s="65"/>
      <c r="AK40" s="65"/>
      <c r="AL40" s="65"/>
      <c r="AM40" s="65"/>
      <c r="AN40" s="65"/>
      <c r="AO40" s="65"/>
      <c r="AP40" s="65"/>
      <c r="AQ40" s="65"/>
      <c r="AR40" s="65"/>
      <c r="AS40" s="65"/>
      <c r="AT40" s="65"/>
      <c r="AU40" s="65"/>
      <c r="AV40" s="123"/>
      <c r="AW40" s="65"/>
      <c r="AX40" s="65"/>
      <c r="AY40" s="65"/>
      <c r="AZ40" s="65"/>
      <c r="BA40" s="65"/>
      <c r="BB40" s="65"/>
      <c r="BC40" s="65"/>
      <c r="BD40" s="65"/>
      <c r="BE40" s="65"/>
      <c r="BF40" s="65"/>
      <c r="BG40" s="65"/>
      <c r="BH40" s="65"/>
      <c r="BI40" s="65"/>
      <c r="BJ40" s="65"/>
      <c r="BK40" s="65"/>
      <c r="BL40" s="124"/>
      <c r="BM40" s="65"/>
      <c r="BN40" s="151"/>
      <c r="BO40" s="151"/>
      <c r="BP40" s="124"/>
      <c r="BQ40" s="65"/>
      <c r="BR40" s="124"/>
      <c r="BS40" s="124"/>
    </row>
    <row r="41" spans="2:71" ht="22.5" customHeight="1" x14ac:dyDescent="0.25">
      <c r="B41" s="314"/>
      <c r="C41" s="315"/>
      <c r="D41" s="65"/>
      <c r="E41" s="65"/>
      <c r="F41" s="65"/>
      <c r="G41" s="65"/>
      <c r="H41" s="65"/>
      <c r="I41" s="65"/>
      <c r="J41" s="65"/>
      <c r="K41" s="65"/>
      <c r="L41" s="65"/>
      <c r="M41" s="65"/>
      <c r="N41" s="65"/>
      <c r="O41" s="65"/>
      <c r="P41" s="65"/>
      <c r="Q41" s="65"/>
      <c r="R41" s="65"/>
      <c r="S41" s="65"/>
      <c r="T41" s="65"/>
      <c r="U41" s="65"/>
      <c r="V41" s="65"/>
      <c r="W41" s="65"/>
      <c r="X41" s="65"/>
      <c r="Y41" s="65"/>
      <c r="Z41" s="65"/>
      <c r="AA41" s="151"/>
      <c r="AB41" s="151"/>
      <c r="AC41" s="65"/>
      <c r="AD41" s="151"/>
      <c r="AE41" s="65"/>
      <c r="AF41" s="65"/>
      <c r="AG41" s="151"/>
      <c r="AH41" s="65"/>
      <c r="AI41" s="65"/>
      <c r="AJ41" s="65"/>
      <c r="AK41" s="65"/>
      <c r="AL41" s="65"/>
      <c r="AM41" s="65"/>
      <c r="AN41" s="65"/>
      <c r="AO41" s="65"/>
      <c r="AP41" s="65"/>
      <c r="AQ41" s="65"/>
      <c r="AR41" s="65"/>
      <c r="AS41" s="65"/>
      <c r="AT41" s="65"/>
      <c r="AU41" s="65"/>
      <c r="AV41" s="123"/>
      <c r="AW41" s="65"/>
      <c r="AX41" s="65"/>
      <c r="AY41" s="65"/>
      <c r="AZ41" s="65"/>
      <c r="BA41" s="65"/>
      <c r="BB41" s="65"/>
      <c r="BC41" s="65"/>
      <c r="BD41" s="65"/>
      <c r="BE41" s="65"/>
      <c r="BF41" s="65"/>
      <c r="BG41" s="65"/>
      <c r="BH41" s="65"/>
      <c r="BI41" s="65"/>
      <c r="BJ41" s="65"/>
      <c r="BK41" s="65"/>
      <c r="BL41" s="124"/>
      <c r="BM41" s="65"/>
      <c r="BN41" s="151"/>
      <c r="BO41" s="151"/>
      <c r="BP41" s="124"/>
      <c r="BQ41" s="65"/>
      <c r="BR41" s="124"/>
      <c r="BS41" s="124"/>
    </row>
    <row r="42" spans="2:71" ht="22.5" customHeight="1" x14ac:dyDescent="0.25">
      <c r="B42" s="314"/>
      <c r="C42" s="315"/>
      <c r="D42" s="65"/>
      <c r="E42" s="65"/>
      <c r="F42" s="65"/>
      <c r="G42" s="65"/>
      <c r="H42" s="65"/>
      <c r="I42" s="65"/>
      <c r="J42" s="65"/>
      <c r="K42" s="65"/>
      <c r="L42" s="65"/>
      <c r="M42" s="65"/>
      <c r="N42" s="65"/>
      <c r="O42" s="65"/>
      <c r="P42" s="65"/>
      <c r="Q42" s="65"/>
      <c r="R42" s="65"/>
      <c r="S42" s="65"/>
      <c r="T42" s="65"/>
      <c r="U42" s="65"/>
      <c r="V42" s="65"/>
      <c r="W42" s="65"/>
      <c r="X42" s="65"/>
      <c r="Y42" s="65"/>
      <c r="Z42" s="65"/>
      <c r="AA42" s="151"/>
      <c r="AB42" s="151"/>
      <c r="AC42" s="65"/>
      <c r="AD42" s="151"/>
      <c r="AE42" s="65"/>
      <c r="AF42" s="65"/>
      <c r="AG42" s="151"/>
      <c r="AH42" s="65"/>
      <c r="AI42" s="65"/>
      <c r="AJ42" s="65"/>
      <c r="AK42" s="65"/>
      <c r="AL42" s="65"/>
      <c r="AM42" s="65"/>
      <c r="AN42" s="65"/>
      <c r="AO42" s="65"/>
      <c r="AP42" s="65"/>
      <c r="AQ42" s="65"/>
      <c r="AR42" s="65"/>
      <c r="AS42" s="65"/>
      <c r="AT42" s="65"/>
      <c r="AU42" s="65"/>
      <c r="AV42" s="123"/>
      <c r="AW42" s="65"/>
      <c r="AX42" s="65"/>
      <c r="AY42" s="65"/>
      <c r="AZ42" s="65"/>
      <c r="BA42" s="65"/>
      <c r="BB42" s="65"/>
      <c r="BC42" s="65"/>
      <c r="BD42" s="65"/>
      <c r="BE42" s="65"/>
      <c r="BF42" s="65"/>
      <c r="BG42" s="65"/>
      <c r="BH42" s="65"/>
      <c r="BI42" s="65"/>
      <c r="BJ42" s="65"/>
      <c r="BK42" s="65"/>
      <c r="BL42" s="124"/>
      <c r="BM42" s="65"/>
      <c r="BN42" s="151"/>
      <c r="BO42" s="151"/>
      <c r="BP42" s="124"/>
      <c r="BQ42" s="65"/>
      <c r="BR42" s="124"/>
      <c r="BS42" s="124"/>
    </row>
    <row r="43" spans="2:71" ht="22.5" customHeight="1" x14ac:dyDescent="0.25">
      <c r="B43" s="314"/>
      <c r="C43" s="315"/>
      <c r="D43" s="65"/>
      <c r="E43" s="65"/>
      <c r="F43" s="65"/>
      <c r="G43" s="65"/>
      <c r="H43" s="65"/>
      <c r="I43" s="65"/>
      <c r="J43" s="65"/>
      <c r="K43" s="65"/>
      <c r="L43" s="65"/>
      <c r="M43" s="65"/>
      <c r="N43" s="65"/>
      <c r="O43" s="65"/>
      <c r="P43" s="65"/>
      <c r="Q43" s="65"/>
      <c r="R43" s="65"/>
      <c r="S43" s="65"/>
      <c r="T43" s="65"/>
      <c r="U43" s="65"/>
      <c r="V43" s="65"/>
      <c r="W43" s="65"/>
      <c r="X43" s="65"/>
      <c r="Y43" s="65"/>
      <c r="Z43" s="65"/>
      <c r="AA43" s="151"/>
      <c r="AB43" s="151"/>
      <c r="AC43" s="65"/>
      <c r="AD43" s="151"/>
      <c r="AE43" s="65"/>
      <c r="AF43" s="65"/>
      <c r="AG43" s="151"/>
      <c r="AH43" s="65"/>
      <c r="AI43" s="65"/>
      <c r="AJ43" s="65"/>
      <c r="AK43" s="65"/>
      <c r="AL43" s="65"/>
      <c r="AM43" s="65"/>
      <c r="AN43" s="65"/>
      <c r="AO43" s="65"/>
      <c r="AP43" s="65"/>
      <c r="AQ43" s="65"/>
      <c r="AR43" s="65"/>
      <c r="AS43" s="65"/>
      <c r="AT43" s="65"/>
      <c r="AU43" s="65"/>
      <c r="AV43" s="123"/>
      <c r="AW43" s="65"/>
      <c r="AX43" s="65"/>
      <c r="AY43" s="65"/>
      <c r="AZ43" s="65"/>
      <c r="BA43" s="65"/>
      <c r="BB43" s="65"/>
      <c r="BC43" s="65"/>
      <c r="BD43" s="65"/>
      <c r="BE43" s="65"/>
      <c r="BF43" s="65"/>
      <c r="BG43" s="65"/>
      <c r="BH43" s="65"/>
      <c r="BI43" s="65"/>
      <c r="BJ43" s="65"/>
      <c r="BK43" s="65"/>
      <c r="BL43" s="124"/>
      <c r="BM43" s="65"/>
      <c r="BN43" s="151"/>
      <c r="BO43" s="151"/>
      <c r="BP43" s="124"/>
      <c r="BQ43" s="65"/>
      <c r="BR43" s="124"/>
      <c r="BS43" s="124"/>
    </row>
    <row r="44" spans="2:71" ht="22.5" customHeight="1" x14ac:dyDescent="0.25">
      <c r="B44" s="314"/>
      <c r="C44" s="315"/>
      <c r="D44" s="65"/>
      <c r="E44" s="65"/>
      <c r="F44" s="65"/>
      <c r="G44" s="65"/>
      <c r="H44" s="65"/>
      <c r="I44" s="65"/>
      <c r="J44" s="65"/>
      <c r="K44" s="65"/>
      <c r="L44" s="65"/>
      <c r="M44" s="65"/>
      <c r="N44" s="65"/>
      <c r="O44" s="65"/>
      <c r="P44" s="65"/>
      <c r="Q44" s="65"/>
      <c r="R44" s="65"/>
      <c r="S44" s="65"/>
      <c r="T44" s="65"/>
      <c r="U44" s="65"/>
      <c r="V44" s="65"/>
      <c r="W44" s="65"/>
      <c r="X44" s="65"/>
      <c r="Y44" s="65"/>
      <c r="Z44" s="65"/>
      <c r="AA44" s="151"/>
      <c r="AB44" s="151"/>
      <c r="AC44" s="65"/>
      <c r="AD44" s="151"/>
      <c r="AE44" s="65"/>
      <c r="AF44" s="65"/>
      <c r="AG44" s="151"/>
      <c r="AH44" s="65"/>
      <c r="AI44" s="65"/>
      <c r="AJ44" s="65"/>
      <c r="AK44" s="65"/>
      <c r="AL44" s="65"/>
      <c r="AM44" s="65"/>
      <c r="AN44" s="65"/>
      <c r="AO44" s="65"/>
      <c r="AP44" s="65"/>
      <c r="AQ44" s="65"/>
      <c r="AR44" s="65"/>
      <c r="AS44" s="65"/>
      <c r="AT44" s="65"/>
      <c r="AU44" s="65"/>
      <c r="AV44" s="123"/>
      <c r="AW44" s="65"/>
      <c r="AX44" s="65"/>
      <c r="AY44" s="65"/>
      <c r="AZ44" s="65"/>
      <c r="BA44" s="65"/>
      <c r="BB44" s="65"/>
      <c r="BC44" s="65"/>
      <c r="BD44" s="65"/>
      <c r="BE44" s="65"/>
      <c r="BF44" s="65"/>
      <c r="BG44" s="65"/>
      <c r="BH44" s="65"/>
      <c r="BI44" s="65"/>
      <c r="BJ44" s="65"/>
      <c r="BK44" s="65"/>
      <c r="BL44" s="124"/>
      <c r="BM44" s="65"/>
      <c r="BN44" s="151"/>
      <c r="BO44" s="151"/>
      <c r="BP44" s="124"/>
      <c r="BQ44" s="65"/>
      <c r="BR44" s="124"/>
      <c r="BS44" s="124"/>
    </row>
    <row r="45" spans="2:71" ht="22.5" customHeight="1" x14ac:dyDescent="0.25">
      <c r="B45" s="314"/>
      <c r="C45" s="315"/>
      <c r="D45" s="65"/>
      <c r="E45" s="65"/>
      <c r="F45" s="65"/>
      <c r="G45" s="65"/>
      <c r="H45" s="65"/>
      <c r="I45" s="65"/>
      <c r="J45" s="65"/>
      <c r="K45" s="65"/>
      <c r="L45" s="65"/>
      <c r="M45" s="65"/>
      <c r="N45" s="65"/>
      <c r="O45" s="65"/>
      <c r="P45" s="65"/>
      <c r="Q45" s="65"/>
      <c r="R45" s="65"/>
      <c r="S45" s="65"/>
      <c r="T45" s="65"/>
      <c r="U45" s="65"/>
      <c r="V45" s="65"/>
      <c r="W45" s="65"/>
      <c r="X45" s="65"/>
      <c r="Y45" s="65"/>
      <c r="Z45" s="65"/>
      <c r="AA45" s="151"/>
      <c r="AB45" s="151"/>
      <c r="AC45" s="65"/>
      <c r="AD45" s="151"/>
      <c r="AE45" s="65"/>
      <c r="AF45" s="65"/>
      <c r="AG45" s="151"/>
      <c r="AH45" s="65"/>
      <c r="AI45" s="65"/>
      <c r="AJ45" s="65"/>
      <c r="AK45" s="65"/>
      <c r="AL45" s="65"/>
      <c r="AM45" s="65"/>
      <c r="AN45" s="65"/>
      <c r="AO45" s="65"/>
      <c r="AP45" s="65"/>
      <c r="AQ45" s="65"/>
      <c r="AR45" s="65"/>
      <c r="AS45" s="65"/>
      <c r="AT45" s="65"/>
      <c r="AU45" s="65"/>
      <c r="AV45" s="123"/>
      <c r="AW45" s="65"/>
      <c r="AX45" s="65"/>
      <c r="AY45" s="65"/>
      <c r="AZ45" s="65"/>
      <c r="BA45" s="65"/>
      <c r="BB45" s="65"/>
      <c r="BC45" s="65"/>
      <c r="BD45" s="65"/>
      <c r="BE45" s="65"/>
      <c r="BF45" s="65"/>
      <c r="BG45" s="65"/>
      <c r="BH45" s="65"/>
      <c r="BI45" s="65"/>
      <c r="BJ45" s="65"/>
      <c r="BK45" s="65"/>
      <c r="BL45" s="124"/>
      <c r="BM45" s="65"/>
      <c r="BN45" s="151"/>
      <c r="BO45" s="151"/>
      <c r="BP45" s="124"/>
      <c r="BQ45" s="65"/>
      <c r="BR45" s="124"/>
      <c r="BS45" s="124"/>
    </row>
    <row r="46" spans="2:71" ht="22.5" customHeight="1" x14ac:dyDescent="0.25">
      <c r="B46" s="314"/>
      <c r="C46" s="315"/>
      <c r="D46" s="65"/>
      <c r="E46" s="65"/>
      <c r="F46" s="65"/>
      <c r="G46" s="65"/>
      <c r="H46" s="65"/>
      <c r="I46" s="65"/>
      <c r="J46" s="65"/>
      <c r="K46" s="65"/>
      <c r="L46" s="65"/>
      <c r="M46" s="65"/>
      <c r="N46" s="65"/>
      <c r="O46" s="65"/>
      <c r="P46" s="65"/>
      <c r="Q46" s="65"/>
      <c r="R46" s="65"/>
      <c r="S46" s="65"/>
      <c r="T46" s="65"/>
      <c r="U46" s="65"/>
      <c r="V46" s="65"/>
      <c r="W46" s="65"/>
      <c r="X46" s="65"/>
      <c r="Y46" s="65"/>
      <c r="Z46" s="65"/>
      <c r="AA46" s="151"/>
      <c r="AB46" s="151"/>
      <c r="AC46" s="65"/>
      <c r="AD46" s="151"/>
      <c r="AE46" s="65"/>
      <c r="AF46" s="65"/>
      <c r="AG46" s="151"/>
      <c r="AH46" s="65"/>
      <c r="AI46" s="65"/>
      <c r="AJ46" s="65"/>
      <c r="AK46" s="65"/>
      <c r="AL46" s="65"/>
      <c r="AM46" s="65"/>
      <c r="AN46" s="65"/>
      <c r="AO46" s="65"/>
      <c r="AP46" s="65"/>
      <c r="AQ46" s="65"/>
      <c r="AR46" s="65"/>
      <c r="AS46" s="65"/>
      <c r="AT46" s="65"/>
      <c r="AU46" s="65"/>
      <c r="AV46" s="124"/>
      <c r="AW46" s="65"/>
      <c r="AX46" s="65"/>
      <c r="AY46" s="65"/>
      <c r="AZ46" s="65"/>
      <c r="BA46" s="65"/>
      <c r="BB46" s="65"/>
      <c r="BC46" s="65"/>
      <c r="BD46" s="65"/>
      <c r="BE46" s="65"/>
      <c r="BF46" s="65"/>
      <c r="BG46" s="65"/>
      <c r="BH46" s="65"/>
      <c r="BI46" s="65"/>
      <c r="BJ46" s="65"/>
      <c r="BK46" s="65"/>
      <c r="BL46" s="124"/>
      <c r="BM46" s="65"/>
      <c r="BN46" s="151"/>
      <c r="BO46" s="151"/>
      <c r="BP46" s="124"/>
      <c r="BQ46" s="65"/>
      <c r="BR46" s="124"/>
      <c r="BS46" s="124"/>
    </row>
    <row r="47" spans="2:71" ht="22.5" customHeight="1" x14ac:dyDescent="0.25">
      <c r="B47" s="314"/>
      <c r="C47" s="315"/>
      <c r="D47" s="65"/>
      <c r="E47" s="65"/>
      <c r="F47" s="65"/>
      <c r="G47" s="65"/>
      <c r="H47" s="65"/>
      <c r="I47" s="65"/>
      <c r="J47" s="65"/>
      <c r="K47" s="65"/>
      <c r="L47" s="65"/>
      <c r="M47" s="65"/>
      <c r="N47" s="65"/>
      <c r="O47" s="65"/>
      <c r="P47" s="65"/>
      <c r="Q47" s="65"/>
      <c r="R47" s="65"/>
      <c r="S47" s="65"/>
      <c r="T47" s="65"/>
      <c r="U47" s="65"/>
      <c r="V47" s="65"/>
      <c r="W47" s="65"/>
      <c r="X47" s="65"/>
      <c r="Y47" s="65"/>
      <c r="Z47" s="65"/>
      <c r="AA47" s="151"/>
      <c r="AB47" s="151"/>
      <c r="AC47" s="65"/>
      <c r="AD47" s="151"/>
      <c r="AE47" s="65"/>
      <c r="AF47" s="65"/>
      <c r="AG47" s="151"/>
      <c r="AH47" s="65"/>
      <c r="AI47" s="65"/>
      <c r="AJ47" s="65"/>
      <c r="AK47" s="65"/>
      <c r="AL47" s="65"/>
      <c r="AM47" s="65"/>
      <c r="AN47" s="65"/>
      <c r="AO47" s="65"/>
      <c r="AP47" s="65"/>
      <c r="AQ47" s="65"/>
      <c r="AR47" s="65"/>
      <c r="AS47" s="65"/>
      <c r="AT47" s="65"/>
      <c r="AU47" s="65"/>
      <c r="AV47" s="124"/>
      <c r="AW47" s="65"/>
      <c r="AX47" s="65"/>
      <c r="AY47" s="65"/>
      <c r="AZ47" s="65"/>
      <c r="BA47" s="65"/>
      <c r="BB47" s="65"/>
      <c r="BC47" s="65"/>
      <c r="BD47" s="65"/>
      <c r="BE47" s="65"/>
      <c r="BF47" s="65"/>
      <c r="BG47" s="65"/>
      <c r="BH47" s="65"/>
      <c r="BI47" s="65"/>
      <c r="BJ47" s="65"/>
      <c r="BK47" s="65"/>
      <c r="BL47" s="124"/>
      <c r="BM47" s="65"/>
      <c r="BN47" s="151"/>
      <c r="BO47" s="151"/>
      <c r="BP47" s="124"/>
      <c r="BQ47" s="65"/>
      <c r="BR47" s="124"/>
      <c r="BS47" s="124"/>
    </row>
    <row r="48" spans="2:71" ht="22.5" customHeight="1" x14ac:dyDescent="0.25">
      <c r="B48" s="314"/>
      <c r="C48" s="315"/>
      <c r="D48" s="65"/>
      <c r="E48" s="65"/>
      <c r="F48" s="65"/>
      <c r="G48" s="65"/>
      <c r="H48" s="65"/>
      <c r="I48" s="65"/>
      <c r="J48" s="65"/>
      <c r="K48" s="65"/>
      <c r="L48" s="65"/>
      <c r="M48" s="65"/>
      <c r="N48" s="65"/>
      <c r="O48" s="65"/>
      <c r="P48" s="65"/>
      <c r="Q48" s="65"/>
      <c r="R48" s="65"/>
      <c r="S48" s="65"/>
      <c r="T48" s="65"/>
      <c r="U48" s="65"/>
      <c r="V48" s="65"/>
      <c r="W48" s="65"/>
      <c r="X48" s="65"/>
      <c r="Y48" s="65"/>
      <c r="Z48" s="65"/>
      <c r="AA48" s="151"/>
      <c r="AB48" s="151"/>
      <c r="AC48" s="65"/>
      <c r="AD48" s="151"/>
      <c r="AE48" s="65"/>
      <c r="AF48" s="65"/>
      <c r="AG48" s="151"/>
      <c r="AH48" s="65"/>
      <c r="AI48" s="65"/>
      <c r="AJ48" s="65"/>
      <c r="AK48" s="65"/>
      <c r="AL48" s="65"/>
      <c r="AM48" s="65"/>
      <c r="AN48" s="65"/>
      <c r="AO48" s="65"/>
      <c r="AP48" s="65"/>
      <c r="AQ48" s="65"/>
      <c r="AR48" s="65"/>
      <c r="AS48" s="65"/>
      <c r="AT48" s="65"/>
      <c r="AU48" s="65"/>
      <c r="AV48" s="124"/>
      <c r="AW48" s="65"/>
      <c r="AX48" s="65"/>
      <c r="AY48" s="65"/>
      <c r="AZ48" s="65"/>
      <c r="BA48" s="65"/>
      <c r="BB48" s="65"/>
      <c r="BC48" s="65"/>
      <c r="BD48" s="65"/>
      <c r="BE48" s="65"/>
      <c r="BF48" s="65"/>
      <c r="BG48" s="65"/>
      <c r="BH48" s="65"/>
      <c r="BI48" s="65"/>
      <c r="BJ48" s="65"/>
      <c r="BK48" s="65"/>
      <c r="BL48" s="124"/>
      <c r="BM48" s="65"/>
      <c r="BN48" s="151"/>
      <c r="BO48" s="151"/>
      <c r="BP48" s="124"/>
      <c r="BQ48" s="65"/>
      <c r="BR48" s="124"/>
      <c r="BS48" s="124"/>
    </row>
    <row r="49" spans="2:71" ht="22.5" customHeight="1" x14ac:dyDescent="0.25">
      <c r="B49" s="314"/>
      <c r="C49" s="315"/>
      <c r="D49" s="65"/>
      <c r="E49" s="65"/>
      <c r="F49" s="65"/>
      <c r="G49" s="65"/>
      <c r="H49" s="65"/>
      <c r="I49" s="65"/>
      <c r="J49" s="65"/>
      <c r="K49" s="65"/>
      <c r="L49" s="65"/>
      <c r="M49" s="65"/>
      <c r="N49" s="65"/>
      <c r="O49" s="65"/>
      <c r="P49" s="65"/>
      <c r="Q49" s="65"/>
      <c r="R49" s="65"/>
      <c r="S49" s="65"/>
      <c r="T49" s="65"/>
      <c r="U49" s="65"/>
      <c r="V49" s="65"/>
      <c r="W49" s="65"/>
      <c r="X49" s="65"/>
      <c r="Y49" s="65"/>
      <c r="Z49" s="65"/>
      <c r="AA49" s="151"/>
      <c r="AB49" s="151"/>
      <c r="AC49" s="65"/>
      <c r="AD49" s="151"/>
      <c r="AE49" s="65"/>
      <c r="AF49" s="65"/>
      <c r="AG49" s="151"/>
      <c r="AH49" s="65"/>
      <c r="AI49" s="65"/>
      <c r="AJ49" s="65"/>
      <c r="AK49" s="65"/>
      <c r="AL49" s="65"/>
      <c r="AM49" s="65"/>
      <c r="AN49" s="65"/>
      <c r="AO49" s="65"/>
      <c r="AP49" s="65"/>
      <c r="AQ49" s="65"/>
      <c r="AR49" s="65"/>
      <c r="AS49" s="65"/>
      <c r="AT49" s="65"/>
      <c r="AU49" s="65"/>
      <c r="AV49" s="124"/>
      <c r="AW49" s="65"/>
      <c r="AX49" s="65"/>
      <c r="AY49" s="65"/>
      <c r="AZ49" s="65"/>
      <c r="BA49" s="65"/>
      <c r="BB49" s="65"/>
      <c r="BC49" s="65"/>
      <c r="BD49" s="65"/>
      <c r="BE49" s="65"/>
      <c r="BF49" s="65"/>
      <c r="BG49" s="65"/>
      <c r="BH49" s="65"/>
      <c r="BI49" s="65"/>
      <c r="BJ49" s="65"/>
      <c r="BK49" s="65"/>
      <c r="BL49" s="124"/>
      <c r="BM49" s="65"/>
      <c r="BN49" s="151"/>
      <c r="BO49" s="151"/>
      <c r="BP49" s="124"/>
      <c r="BQ49" s="65"/>
      <c r="BR49" s="124"/>
      <c r="BS49" s="124"/>
    </row>
    <row r="50" spans="2:71" ht="22.5" customHeight="1" x14ac:dyDescent="0.25">
      <c r="B50" s="314"/>
      <c r="C50" s="315"/>
      <c r="D50" s="65"/>
      <c r="E50" s="65"/>
      <c r="F50" s="65"/>
      <c r="G50" s="65"/>
      <c r="H50" s="65"/>
      <c r="I50" s="65"/>
      <c r="J50" s="65"/>
      <c r="K50" s="65"/>
      <c r="L50" s="65"/>
      <c r="M50" s="65"/>
      <c r="N50" s="65"/>
      <c r="O50" s="65"/>
      <c r="P50" s="65"/>
      <c r="Q50" s="65"/>
      <c r="R50" s="65"/>
      <c r="S50" s="65"/>
      <c r="T50" s="65"/>
      <c r="U50" s="65"/>
      <c r="V50" s="65"/>
      <c r="W50" s="65"/>
      <c r="X50" s="65"/>
      <c r="Y50" s="65"/>
      <c r="Z50" s="65"/>
      <c r="AA50" s="151"/>
      <c r="AB50" s="151"/>
      <c r="AC50" s="65"/>
      <c r="AD50" s="151"/>
      <c r="AE50" s="65"/>
      <c r="AF50" s="65"/>
      <c r="AG50" s="151"/>
      <c r="AH50" s="65"/>
      <c r="AI50" s="65"/>
      <c r="AJ50" s="65"/>
      <c r="AK50" s="65"/>
      <c r="AL50" s="65"/>
      <c r="AM50" s="65"/>
      <c r="AN50" s="65"/>
      <c r="AO50" s="65"/>
      <c r="AP50" s="65"/>
      <c r="AQ50" s="65"/>
      <c r="AR50" s="65"/>
      <c r="AS50" s="65"/>
      <c r="AT50" s="65"/>
      <c r="AU50" s="65"/>
      <c r="AV50" s="124"/>
      <c r="AW50" s="65"/>
      <c r="AX50" s="65"/>
      <c r="AY50" s="65"/>
      <c r="AZ50" s="65"/>
      <c r="BA50" s="65"/>
      <c r="BB50" s="65"/>
      <c r="BC50" s="65"/>
      <c r="BD50" s="65"/>
      <c r="BE50" s="65"/>
      <c r="BF50" s="65"/>
      <c r="BG50" s="65"/>
      <c r="BH50" s="65"/>
      <c r="BI50" s="65"/>
      <c r="BJ50" s="65"/>
      <c r="BK50" s="65"/>
      <c r="BL50" s="124"/>
      <c r="BM50" s="65"/>
      <c r="BN50" s="151"/>
      <c r="BO50" s="151"/>
      <c r="BP50" s="124"/>
      <c r="BQ50" s="65"/>
      <c r="BR50" s="124"/>
      <c r="BS50" s="124"/>
    </row>
    <row r="51" spans="2:71" ht="22.5" customHeight="1" x14ac:dyDescent="0.25">
      <c r="B51" s="314"/>
      <c r="C51" s="315"/>
      <c r="D51" s="65"/>
      <c r="E51" s="65"/>
      <c r="F51" s="65"/>
      <c r="G51" s="65"/>
      <c r="H51" s="65"/>
      <c r="I51" s="65"/>
      <c r="J51" s="65"/>
      <c r="K51" s="65"/>
      <c r="L51" s="65"/>
      <c r="M51" s="65"/>
      <c r="N51" s="65"/>
      <c r="O51" s="65"/>
      <c r="P51" s="65"/>
      <c r="Q51" s="65"/>
      <c r="R51" s="65"/>
      <c r="S51" s="65"/>
      <c r="T51" s="65"/>
      <c r="U51" s="65"/>
      <c r="V51" s="65"/>
      <c r="W51" s="65"/>
      <c r="X51" s="65"/>
      <c r="Y51" s="65"/>
      <c r="Z51" s="65"/>
      <c r="AA51" s="151"/>
      <c r="AB51" s="151"/>
      <c r="AC51" s="65"/>
      <c r="AD51" s="151"/>
      <c r="AE51" s="65"/>
      <c r="AF51" s="65"/>
      <c r="AG51" s="151"/>
      <c r="AH51" s="65"/>
      <c r="AI51" s="65"/>
      <c r="AJ51" s="65"/>
      <c r="AK51" s="65"/>
      <c r="AL51" s="65"/>
      <c r="AM51" s="65"/>
      <c r="AN51" s="65"/>
      <c r="AO51" s="65"/>
      <c r="AP51" s="65"/>
      <c r="AQ51" s="65"/>
      <c r="AR51" s="65"/>
      <c r="AS51" s="65"/>
      <c r="AT51" s="65"/>
      <c r="AU51" s="65"/>
      <c r="AV51" s="124"/>
      <c r="AW51" s="65"/>
      <c r="AX51" s="65"/>
      <c r="AY51" s="65"/>
      <c r="AZ51" s="65"/>
      <c r="BA51" s="65"/>
      <c r="BB51" s="65"/>
      <c r="BC51" s="65"/>
      <c r="BD51" s="65"/>
      <c r="BE51" s="65"/>
      <c r="BF51" s="65"/>
      <c r="BG51" s="65"/>
      <c r="BH51" s="65"/>
      <c r="BI51" s="65"/>
      <c r="BJ51" s="65"/>
      <c r="BK51" s="65"/>
      <c r="BL51" s="124"/>
      <c r="BM51" s="65"/>
      <c r="BN51" s="151"/>
      <c r="BO51" s="151"/>
      <c r="BP51" s="124"/>
      <c r="BQ51" s="65"/>
      <c r="BR51" s="124"/>
      <c r="BS51" s="124"/>
    </row>
    <row r="52" spans="2:71" ht="22.5" customHeight="1" x14ac:dyDescent="0.25">
      <c r="B52" s="314"/>
      <c r="C52" s="315"/>
      <c r="D52" s="65"/>
      <c r="E52" s="65"/>
      <c r="F52" s="65"/>
      <c r="G52" s="65"/>
      <c r="H52" s="65"/>
      <c r="I52" s="65"/>
      <c r="J52" s="65"/>
      <c r="K52" s="65"/>
      <c r="L52" s="65"/>
      <c r="M52" s="65"/>
      <c r="N52" s="65"/>
      <c r="O52" s="65"/>
      <c r="P52" s="65"/>
      <c r="Q52" s="65"/>
      <c r="R52" s="65"/>
      <c r="S52" s="65"/>
      <c r="T52" s="65"/>
      <c r="U52" s="65"/>
      <c r="V52" s="65"/>
      <c r="W52" s="65"/>
      <c r="X52" s="65"/>
      <c r="Y52" s="65"/>
      <c r="Z52" s="65"/>
      <c r="AA52" s="151"/>
      <c r="AB52" s="151"/>
      <c r="AC52" s="65"/>
      <c r="AD52" s="151"/>
      <c r="AE52" s="65"/>
      <c r="AF52" s="65"/>
      <c r="AG52" s="65"/>
      <c r="AH52" s="65"/>
      <c r="AI52" s="65"/>
      <c r="AJ52" s="65"/>
      <c r="AK52" s="65"/>
      <c r="AL52" s="65"/>
      <c r="AM52" s="65"/>
      <c r="AN52" s="65"/>
      <c r="AO52" s="65"/>
      <c r="AP52" s="65"/>
      <c r="AQ52" s="65"/>
      <c r="AR52" s="65"/>
      <c r="AS52" s="65"/>
      <c r="AT52" s="65"/>
      <c r="AU52" s="65"/>
      <c r="AV52" s="124"/>
      <c r="AW52" s="65"/>
      <c r="AX52" s="65"/>
      <c r="AY52" s="65"/>
      <c r="AZ52" s="65"/>
      <c r="BA52" s="65"/>
      <c r="BB52" s="65"/>
      <c r="BC52" s="65"/>
      <c r="BD52" s="65"/>
      <c r="BE52" s="65"/>
      <c r="BF52" s="65"/>
      <c r="BG52" s="65"/>
      <c r="BH52" s="65"/>
      <c r="BI52" s="65"/>
      <c r="BJ52" s="65"/>
      <c r="BK52" s="65"/>
      <c r="BL52" s="124"/>
      <c r="BM52" s="65"/>
      <c r="BN52" s="151"/>
      <c r="BO52" s="151"/>
      <c r="BP52" s="124"/>
      <c r="BQ52" s="65"/>
      <c r="BR52" s="124"/>
      <c r="BS52" s="124"/>
    </row>
    <row r="53" spans="2:71" ht="22.5" customHeight="1" x14ac:dyDescent="0.25">
      <c r="B53" s="319" t="s">
        <v>221</v>
      </c>
      <c r="C53" s="319"/>
      <c r="D53" s="90">
        <f>IF(COUNT(D29:D52)=0,"",AVERAGE(D29:D52))</f>
        <v>228.43941968583414</v>
      </c>
      <c r="E53" s="90">
        <f t="shared" ref="E53:BP53" si="0">IF(COUNT(E29:E52)=0,"",AVERAGE(E29:E52))</f>
        <v>77.691876850756358</v>
      </c>
      <c r="F53" s="90"/>
      <c r="G53" s="90">
        <f t="shared" si="0"/>
        <v>75.609107971191406</v>
      </c>
      <c r="H53" s="90">
        <f t="shared" si="0"/>
        <v>72.968312799501476</v>
      </c>
      <c r="I53" s="90"/>
      <c r="J53" s="90"/>
      <c r="K53" s="90"/>
      <c r="L53" s="90"/>
      <c r="M53" s="90"/>
      <c r="N53" s="90">
        <f t="shared" si="0"/>
        <v>33.345524891280178</v>
      </c>
      <c r="O53" s="90"/>
      <c r="P53" s="90">
        <f t="shared" si="0"/>
        <v>8.7044794653332271</v>
      </c>
      <c r="Q53" s="90">
        <f t="shared" si="0"/>
        <v>72.326605343068053</v>
      </c>
      <c r="R53" s="90">
        <f t="shared" si="0"/>
        <v>26.045982360839844</v>
      </c>
      <c r="S53" s="90">
        <f t="shared" si="0"/>
        <v>7.7091549443066469</v>
      </c>
      <c r="T53" s="90">
        <f t="shared" si="0"/>
        <v>97.149735884029241</v>
      </c>
      <c r="U53" s="90">
        <f t="shared" si="0"/>
        <v>33.1</v>
      </c>
      <c r="V53" s="90">
        <f t="shared" si="0"/>
        <v>14.012333333333334</v>
      </c>
      <c r="W53" s="90">
        <f t="shared" si="0"/>
        <v>42.333333333333336</v>
      </c>
      <c r="X53" s="90">
        <f t="shared" si="0"/>
        <v>153.04000000000002</v>
      </c>
      <c r="Y53" s="90">
        <f t="shared" si="0"/>
        <v>1257.6600000000001</v>
      </c>
      <c r="Z53" s="90">
        <f t="shared" si="0"/>
        <v>1</v>
      </c>
      <c r="AA53" s="90"/>
      <c r="AB53" s="90"/>
      <c r="AC53" s="90">
        <f t="shared" si="0"/>
        <v>0</v>
      </c>
      <c r="AD53" s="90"/>
      <c r="AE53" s="90"/>
      <c r="AF53" s="90"/>
      <c r="AG53" s="90"/>
      <c r="AH53" s="90"/>
      <c r="AI53" s="90"/>
      <c r="AJ53" s="90"/>
      <c r="AK53" s="90"/>
      <c r="AL53" s="90"/>
      <c r="AM53" s="90">
        <f t="shared" si="0"/>
        <v>81.644806580554089</v>
      </c>
      <c r="AN53" s="90">
        <f t="shared" si="0"/>
        <v>73.785720387310477</v>
      </c>
      <c r="AO53" s="90">
        <f t="shared" si="0"/>
        <v>194.78817902476055</v>
      </c>
      <c r="AP53" s="90"/>
      <c r="AQ53" s="90"/>
      <c r="AR53" s="90">
        <f t="shared" si="0"/>
        <v>169.90484411375661</v>
      </c>
      <c r="AS53" s="90"/>
      <c r="AT53" s="90"/>
      <c r="AU53" s="90">
        <f t="shared" si="0"/>
        <v>55</v>
      </c>
      <c r="AV53" s="90"/>
      <c r="AW53" s="90">
        <f t="shared" si="0"/>
        <v>33.1</v>
      </c>
      <c r="AX53" s="90"/>
      <c r="AY53" s="90"/>
      <c r="AZ53" s="90">
        <f t="shared" si="0"/>
        <v>7.8008579999999998</v>
      </c>
      <c r="BA53" s="90">
        <f t="shared" si="0"/>
        <v>97.06</v>
      </c>
      <c r="BB53" s="90"/>
      <c r="BC53" s="90"/>
      <c r="BD53" s="90"/>
      <c r="BE53" s="90"/>
      <c r="BF53" s="90"/>
      <c r="BG53" s="90">
        <f t="shared" si="0"/>
        <v>153.04000000000002</v>
      </c>
      <c r="BH53" s="90"/>
      <c r="BI53" s="90"/>
      <c r="BJ53" s="90"/>
      <c r="BK53" s="90"/>
      <c r="BL53" s="90"/>
      <c r="BM53" s="90">
        <f t="shared" si="0"/>
        <v>1257.6600000000001</v>
      </c>
      <c r="BN53" s="90">
        <f t="shared" si="0"/>
        <v>8.560704681850364</v>
      </c>
      <c r="BO53" s="90">
        <f t="shared" si="0"/>
        <v>95.552401768131844</v>
      </c>
      <c r="BP53" s="90"/>
      <c r="BQ53" s="90">
        <f t="shared" ref="BQ53:BS53" si="1">IF(COUNT(BQ29:BQ52)=0,"",AVERAGE(BQ29:BQ52))</f>
        <v>0</v>
      </c>
      <c r="BR53" s="90"/>
      <c r="BS53" s="90"/>
    </row>
    <row r="54" spans="2:71" ht="22.5" customHeight="1" x14ac:dyDescent="0.25"/>
    <row r="55" spans="2:71" ht="22.5" customHeight="1" x14ac:dyDescent="0.25">
      <c r="B55" s="312" t="s">
        <v>222</v>
      </c>
      <c r="C55" s="312"/>
      <c r="D55" s="312"/>
      <c r="E55" s="312"/>
      <c r="F55" s="312"/>
      <c r="G55" s="312"/>
      <c r="H55" s="312"/>
      <c r="I55" s="312"/>
      <c r="J55" s="312"/>
      <c r="K55" s="312"/>
      <c r="L55" s="312"/>
      <c r="M55" s="312"/>
      <c r="N55" s="312"/>
      <c r="O55" s="312"/>
      <c r="P55" s="312"/>
      <c r="Q55" s="312"/>
      <c r="R55" s="312"/>
      <c r="S55" s="312"/>
      <c r="T55" s="312"/>
      <c r="U55" s="312"/>
      <c r="V55" s="312"/>
      <c r="W55" s="312"/>
      <c r="X55" s="312"/>
      <c r="Y55" s="313"/>
      <c r="Z55" s="64"/>
      <c r="AA55" s="25"/>
      <c r="AB55" s="13" t="s">
        <v>223</v>
      </c>
      <c r="AC55" s="14"/>
      <c r="AD55" s="14"/>
      <c r="AE55" s="14"/>
      <c r="AF55" s="14"/>
      <c r="AG55" s="14"/>
      <c r="AH55" s="14"/>
      <c r="AI55" s="14"/>
      <c r="AJ55" s="14"/>
      <c r="AK55" s="14"/>
      <c r="AL55" s="14"/>
      <c r="AM55" s="14"/>
      <c r="AN55" s="14"/>
      <c r="AO55" s="14"/>
      <c r="AP55" s="14"/>
      <c r="AQ55" s="14"/>
      <c r="AR55" s="14"/>
      <c r="AS55" s="14"/>
      <c r="AT55" s="15"/>
      <c r="AU55" s="45"/>
      <c r="AV55" s="308" t="s">
        <v>224</v>
      </c>
      <c r="AW55" s="308"/>
      <c r="AX55" s="308"/>
      <c r="AY55" s="308"/>
      <c r="AZ55" s="308"/>
      <c r="BA55" s="308"/>
      <c r="BB55" s="308"/>
      <c r="BC55" s="308"/>
      <c r="BD55" s="308"/>
      <c r="BE55" s="308"/>
      <c r="BF55" s="308"/>
      <c r="BG55" s="308"/>
      <c r="BH55" s="308"/>
      <c r="BI55" s="308"/>
      <c r="BJ55" s="308"/>
      <c r="BK55" s="308"/>
      <c r="BL55" s="308"/>
      <c r="BM55" s="308"/>
      <c r="BN55" s="308"/>
      <c r="BO55" s="308"/>
      <c r="BP55" s="308"/>
      <c r="BQ55" s="308"/>
      <c r="BR55" s="308"/>
      <c r="BS55" s="308"/>
    </row>
    <row r="56" spans="2:71" ht="22.5" customHeight="1" x14ac:dyDescent="0.25">
      <c r="B56" s="312"/>
      <c r="C56" s="312"/>
      <c r="D56" s="312"/>
      <c r="E56" s="312"/>
      <c r="F56" s="312"/>
      <c r="G56" s="312"/>
      <c r="H56" s="312"/>
      <c r="I56" s="312"/>
      <c r="J56" s="312"/>
      <c r="K56" s="312"/>
      <c r="L56" s="312"/>
      <c r="M56" s="312"/>
      <c r="N56" s="312"/>
      <c r="O56" s="312"/>
      <c r="P56" s="312"/>
      <c r="Q56" s="312"/>
      <c r="R56" s="312"/>
      <c r="S56" s="312"/>
      <c r="T56" s="312"/>
      <c r="U56" s="312"/>
      <c r="V56" s="312"/>
      <c r="W56" s="312"/>
      <c r="X56" s="312"/>
      <c r="Y56" s="313"/>
      <c r="Z56" s="64"/>
      <c r="AA56" s="25"/>
      <c r="AB56" s="251" t="s">
        <v>225</v>
      </c>
      <c r="AC56" s="252"/>
      <c r="AD56" s="252"/>
      <c r="AE56" s="255" t="s">
        <v>1100</v>
      </c>
      <c r="AF56" s="255"/>
      <c r="AG56" s="255"/>
      <c r="AH56" s="255"/>
      <c r="AI56" s="255"/>
      <c r="AJ56" s="255"/>
      <c r="AK56" s="255"/>
      <c r="AL56" s="255"/>
      <c r="AM56" s="255"/>
      <c r="AN56" s="255"/>
      <c r="AO56" s="255"/>
      <c r="AP56" s="255"/>
      <c r="AQ56" s="255"/>
      <c r="AR56" s="255"/>
      <c r="AS56" s="255"/>
      <c r="AT56" s="256"/>
      <c r="AU56" s="43"/>
      <c r="AV56" s="274"/>
      <c r="AW56" s="274"/>
      <c r="AX56" s="272" t="s">
        <v>226</v>
      </c>
      <c r="AY56" s="273"/>
      <c r="AZ56" s="272" t="s">
        <v>227</v>
      </c>
      <c r="BA56" s="359"/>
      <c r="BB56" s="267" t="s">
        <v>228</v>
      </c>
      <c r="BC56" s="267"/>
      <c r="BD56" s="267"/>
      <c r="BE56" s="267"/>
      <c r="BF56" s="267"/>
      <c r="BG56" s="267"/>
      <c r="BH56" s="267"/>
      <c r="BI56" s="267"/>
      <c r="BJ56" s="267"/>
      <c r="BK56" s="267"/>
      <c r="BL56" s="296" t="s">
        <v>229</v>
      </c>
      <c r="BM56" s="297"/>
      <c r="BN56" s="297"/>
      <c r="BO56" s="297"/>
      <c r="BP56" s="297"/>
      <c r="BQ56" s="297"/>
      <c r="BR56" s="297"/>
      <c r="BS56" s="298"/>
    </row>
    <row r="57" spans="2:71" ht="22.5" customHeight="1" x14ac:dyDescent="0.25">
      <c r="B57" s="336" t="s">
        <v>230</v>
      </c>
      <c r="C57" s="341" t="s">
        <v>231</v>
      </c>
      <c r="D57" s="342"/>
      <c r="E57" s="309" t="s">
        <v>232</v>
      </c>
      <c r="F57" s="309"/>
      <c r="G57" s="309"/>
      <c r="H57" s="309"/>
      <c r="I57" s="309"/>
      <c r="J57" s="309"/>
      <c r="K57" s="309"/>
      <c r="L57" s="309"/>
      <c r="M57" s="309" t="s">
        <v>233</v>
      </c>
      <c r="N57" s="309"/>
      <c r="O57" s="309"/>
      <c r="P57" s="309"/>
      <c r="Q57" s="310" t="s">
        <v>213</v>
      </c>
      <c r="R57" s="311"/>
      <c r="S57" s="311"/>
      <c r="T57" s="311"/>
      <c r="U57" s="7" t="s">
        <v>130</v>
      </c>
      <c r="V57" s="7" t="s">
        <v>130</v>
      </c>
      <c r="W57" s="7" t="s">
        <v>211</v>
      </c>
      <c r="X57" s="17" t="s">
        <v>213</v>
      </c>
      <c r="Y57" s="7" t="s">
        <v>132</v>
      </c>
      <c r="AA57" s="23"/>
      <c r="AB57" s="253"/>
      <c r="AC57" s="254"/>
      <c r="AD57" s="254"/>
      <c r="AE57" s="257"/>
      <c r="AF57" s="257"/>
      <c r="AG57" s="257"/>
      <c r="AH57" s="257"/>
      <c r="AI57" s="257"/>
      <c r="AJ57" s="257"/>
      <c r="AK57" s="257"/>
      <c r="AL57" s="257"/>
      <c r="AM57" s="257"/>
      <c r="AN57" s="257"/>
      <c r="AO57" s="257"/>
      <c r="AP57" s="257"/>
      <c r="AQ57" s="257"/>
      <c r="AR57" s="257"/>
      <c r="AS57" s="257"/>
      <c r="AT57" s="258"/>
      <c r="AU57" s="43"/>
      <c r="AV57" s="267" t="s">
        <v>234</v>
      </c>
      <c r="AW57" s="267"/>
      <c r="AX57" s="287" t="s">
        <v>1102</v>
      </c>
      <c r="AY57" s="287"/>
      <c r="AZ57" s="289" t="s">
        <v>1103</v>
      </c>
      <c r="BA57" s="290"/>
      <c r="BB57" s="287" t="s">
        <v>1104</v>
      </c>
      <c r="BC57" s="287"/>
      <c r="BD57" s="287"/>
      <c r="BE57" s="287"/>
      <c r="BF57" s="287"/>
      <c r="BG57" s="287"/>
      <c r="BH57" s="287"/>
      <c r="BI57" s="287"/>
      <c r="BJ57" s="287"/>
      <c r="BK57" s="287"/>
      <c r="BL57" s="299"/>
      <c r="BM57" s="300"/>
      <c r="BN57" s="300"/>
      <c r="BO57" s="300"/>
      <c r="BP57" s="300"/>
      <c r="BQ57" s="300"/>
      <c r="BR57" s="300"/>
      <c r="BS57" s="301"/>
    </row>
    <row r="58" spans="2:71" ht="22.5" customHeight="1" x14ac:dyDescent="0.25">
      <c r="B58" s="336"/>
      <c r="C58" s="343"/>
      <c r="D58" s="344"/>
      <c r="E58" s="60" t="s">
        <v>235</v>
      </c>
      <c r="F58" s="60" t="s">
        <v>236</v>
      </c>
      <c r="G58" s="60" t="s">
        <v>237</v>
      </c>
      <c r="H58" s="60" t="s">
        <v>238</v>
      </c>
      <c r="I58" s="296" t="s">
        <v>239</v>
      </c>
      <c r="J58" s="298"/>
      <c r="K58" s="60" t="s">
        <v>240</v>
      </c>
      <c r="L58" s="82" t="s">
        <v>241</v>
      </c>
      <c r="M58" s="60" t="s">
        <v>242</v>
      </c>
      <c r="N58" s="60" t="s">
        <v>243</v>
      </c>
      <c r="O58" s="60" t="s">
        <v>244</v>
      </c>
      <c r="P58" s="60" t="s">
        <v>245</v>
      </c>
      <c r="Q58" s="296" t="s">
        <v>246</v>
      </c>
      <c r="R58" s="298"/>
      <c r="S58" s="296" t="s">
        <v>247</v>
      </c>
      <c r="T58" s="298"/>
      <c r="U58" s="60" t="s">
        <v>248</v>
      </c>
      <c r="V58" s="60" t="s">
        <v>249</v>
      </c>
      <c r="W58" s="60" t="s">
        <v>250</v>
      </c>
      <c r="X58" s="60" t="s">
        <v>180</v>
      </c>
      <c r="Y58" s="60" t="s">
        <v>198</v>
      </c>
      <c r="AA58" s="23"/>
      <c r="AB58" s="154" t="s">
        <v>251</v>
      </c>
      <c r="AC58" s="155"/>
      <c r="AD58" s="155"/>
      <c r="AE58" s="155"/>
      <c r="AF58" s="155"/>
      <c r="AG58" s="220"/>
      <c r="AH58" s="248">
        <v>8873234</v>
      </c>
      <c r="AI58" s="249">
        <v>45251</v>
      </c>
      <c r="AJ58" s="156"/>
      <c r="AK58" s="157"/>
      <c r="AL58" s="158"/>
      <c r="AM58" s="158"/>
      <c r="AN58" s="158"/>
      <c r="AO58" s="158"/>
      <c r="AP58" s="158"/>
      <c r="AQ58" s="158"/>
      <c r="AR58" s="158"/>
      <c r="AS58" s="158"/>
      <c r="AT58" s="159"/>
      <c r="AU58" s="43"/>
      <c r="AV58" s="267"/>
      <c r="AW58" s="267"/>
      <c r="AX58" s="287"/>
      <c r="AY58" s="287"/>
      <c r="AZ58" s="291"/>
      <c r="BA58" s="292"/>
      <c r="BB58" s="287"/>
      <c r="BC58" s="287"/>
      <c r="BD58" s="287"/>
      <c r="BE58" s="287"/>
      <c r="BF58" s="287"/>
      <c r="BG58" s="287"/>
      <c r="BH58" s="287"/>
      <c r="BI58" s="287"/>
      <c r="BJ58" s="287"/>
      <c r="BK58" s="287"/>
      <c r="BL58" s="302"/>
      <c r="BM58" s="303"/>
      <c r="BN58" s="303"/>
      <c r="BO58" s="303"/>
      <c r="BP58" s="303"/>
      <c r="BQ58" s="303"/>
      <c r="BR58" s="303"/>
      <c r="BS58" s="304"/>
    </row>
    <row r="59" spans="2:71" ht="22.5" customHeight="1" x14ac:dyDescent="0.25">
      <c r="B59" s="97" t="s">
        <v>252</v>
      </c>
      <c r="C59" s="599">
        <f>M7</f>
        <v>45311.791666666642</v>
      </c>
      <c r="D59" s="269"/>
      <c r="E59" s="600">
        <f>M8</f>
        <v>10</v>
      </c>
      <c r="F59" s="96">
        <f>ROUND(H59+G59,2)</f>
        <v>4457.74</v>
      </c>
      <c r="G59" s="96">
        <f>ROUND(U53*(1-W53/100)*24*AH8,2)</f>
        <v>448.48</v>
      </c>
      <c r="H59" s="96">
        <f>ROUND(24*(X53+(U53*W53/100)),2)</f>
        <v>4009.26</v>
      </c>
      <c r="I59" s="270">
        <f>ROUND(K59-L59,2)</f>
        <v>28922.9</v>
      </c>
      <c r="J59" s="271"/>
      <c r="K59" s="96">
        <f>ROUND(Y53*24*(1-(IF(ISNUMBER(AD9),AD9,0)/100))+G59*AH9,2)</f>
        <v>28922.9</v>
      </c>
      <c r="L59" s="96">
        <f>ROUND(AC53*24,2)</f>
        <v>0</v>
      </c>
      <c r="M59" s="96">
        <f>ROUND(I59/G59,2)</f>
        <v>64.489999999999995</v>
      </c>
      <c r="N59" s="96">
        <f>ROUND(L59/(G59+H59),2)</f>
        <v>0</v>
      </c>
      <c r="O59" s="96">
        <f>ROUND(I59/(G59+H59),2)</f>
        <v>6.49</v>
      </c>
      <c r="P59" s="96">
        <f>ROUND(K59/F59,2)</f>
        <v>6.49</v>
      </c>
      <c r="Q59" s="270">
        <f>ROUND(H59/F59*100,2)</f>
        <v>89.94</v>
      </c>
      <c r="R59" s="271"/>
      <c r="S59" s="270">
        <f>ROUND(W53,2)</f>
        <v>42.33</v>
      </c>
      <c r="T59" s="271"/>
      <c r="U59" s="96">
        <f>ROUND(AD53,2)</f>
        <v>0</v>
      </c>
      <c r="V59" s="96">
        <f>ROUND(N53,2)</f>
        <v>33.35</v>
      </c>
      <c r="W59" s="96">
        <f>ROUND(IF(Q53&lt;&gt; 0,Q53, ),2)</f>
        <v>72.33</v>
      </c>
      <c r="X59" s="96">
        <f>ROUND(R53,2)</f>
        <v>26.05</v>
      </c>
      <c r="Y59" s="96">
        <f>ROUND(AR53,2)</f>
        <v>169.9</v>
      </c>
      <c r="AA59" s="26"/>
      <c r="AB59" s="316"/>
      <c r="AC59" s="317"/>
      <c r="AD59" s="317"/>
      <c r="AE59" s="317"/>
      <c r="AF59" s="317"/>
      <c r="AG59" s="317"/>
      <c r="AH59" s="317"/>
      <c r="AI59" s="317"/>
      <c r="AJ59" s="317"/>
      <c r="AK59" s="317"/>
      <c r="AL59" s="317"/>
      <c r="AM59" s="317"/>
      <c r="AN59" s="317"/>
      <c r="AO59" s="317"/>
      <c r="AP59" s="317"/>
      <c r="AQ59" s="317"/>
      <c r="AR59" s="317"/>
      <c r="AS59" s="317"/>
      <c r="AT59" s="318"/>
      <c r="AU59" s="43"/>
      <c r="AV59" s="267"/>
      <c r="AW59" s="267"/>
      <c r="AX59" s="287"/>
      <c r="AY59" s="287"/>
      <c r="AZ59" s="293"/>
      <c r="BA59" s="294"/>
      <c r="BB59" s="287"/>
      <c r="BC59" s="287"/>
      <c r="BD59" s="287"/>
      <c r="BE59" s="287"/>
      <c r="BF59" s="287"/>
      <c r="BG59" s="287"/>
      <c r="BH59" s="287"/>
      <c r="BI59" s="287"/>
      <c r="BJ59" s="287"/>
      <c r="BK59" s="287"/>
      <c r="BL59" s="305"/>
      <c r="BM59" s="306"/>
      <c r="BN59" s="306"/>
      <c r="BO59" s="306"/>
      <c r="BP59" s="306"/>
      <c r="BQ59" s="306"/>
      <c r="BR59" s="306"/>
      <c r="BS59" s="307"/>
    </row>
    <row r="60" spans="2:71" ht="22.5" customHeight="1" x14ac:dyDescent="0.25">
      <c r="B60" s="97" t="s">
        <v>253</v>
      </c>
      <c r="C60" s="599">
        <v>45252.375</v>
      </c>
      <c r="D60" s="269"/>
      <c r="E60" s="600">
        <v>6</v>
      </c>
      <c r="F60" s="96">
        <v>4513.4567999999999</v>
      </c>
      <c r="G60" s="96">
        <v>447.85679999999996</v>
      </c>
      <c r="H60" s="96">
        <v>4065.6000000000004</v>
      </c>
      <c r="I60" s="270">
        <v>29432.701243326497</v>
      </c>
      <c r="J60" s="271"/>
      <c r="K60" s="96">
        <v>29432.701243326497</v>
      </c>
      <c r="L60" s="96">
        <v>0</v>
      </c>
      <c r="M60" s="96">
        <v>65.719000455785192</v>
      </c>
      <c r="N60" s="96">
        <v>0</v>
      </c>
      <c r="O60" s="96">
        <v>6.5210995801104152</v>
      </c>
      <c r="P60" s="96">
        <v>6.5210995801104152</v>
      </c>
      <c r="Q60" s="270">
        <v>90.077299510211333</v>
      </c>
      <c r="R60" s="271"/>
      <c r="S60" s="270">
        <v>50</v>
      </c>
      <c r="T60" s="271"/>
      <c r="U60" s="96">
        <v>0</v>
      </c>
      <c r="V60" s="96">
        <v>32.143070374596014</v>
      </c>
      <c r="W60" s="96">
        <v>72.447364986825761</v>
      </c>
      <c r="X60" s="96">
        <v>26.396743774414063</v>
      </c>
      <c r="Y60" s="96" t="s">
        <v>103</v>
      </c>
      <c r="AA60" s="24"/>
      <c r="AB60" s="13" t="s">
        <v>254</v>
      </c>
      <c r="AC60" s="14"/>
      <c r="AD60" s="14"/>
      <c r="AE60" s="14"/>
      <c r="AF60" s="14"/>
      <c r="AG60" s="14"/>
      <c r="AH60" s="14"/>
      <c r="AI60" s="14"/>
      <c r="AJ60" s="14"/>
      <c r="AK60" s="14"/>
      <c r="AL60" s="14"/>
      <c r="AM60" s="14"/>
      <c r="AN60" s="14"/>
      <c r="AO60" s="14"/>
      <c r="AP60" s="14"/>
      <c r="AQ60" s="14"/>
      <c r="AR60" s="14"/>
      <c r="AS60" s="14"/>
      <c r="AT60" s="15"/>
      <c r="AU60" s="45"/>
      <c r="AV60" s="267" t="s">
        <v>255</v>
      </c>
      <c r="AW60" s="267"/>
      <c r="AX60" s="288" t="s">
        <v>256</v>
      </c>
      <c r="AY60" s="288"/>
      <c r="AZ60" s="287" t="s">
        <v>257</v>
      </c>
      <c r="BA60" s="287"/>
      <c r="BB60" s="287" t="s">
        <v>258</v>
      </c>
      <c r="BC60" s="287"/>
      <c r="BD60" s="287"/>
      <c r="BE60" s="287"/>
      <c r="BF60" s="287"/>
      <c r="BG60" s="287"/>
      <c r="BH60" s="287"/>
      <c r="BI60" s="287"/>
      <c r="BJ60" s="287"/>
      <c r="BK60" s="287"/>
      <c r="BL60" s="299"/>
      <c r="BM60" s="300"/>
      <c r="BN60" s="300"/>
      <c r="BO60" s="300"/>
      <c r="BP60" s="300"/>
      <c r="BQ60" s="300"/>
      <c r="BR60" s="300"/>
      <c r="BS60" s="301"/>
    </row>
    <row r="61" spans="2:71" ht="22.5" customHeight="1" x14ac:dyDescent="0.25">
      <c r="C61" s="242"/>
      <c r="F61" s="127"/>
      <c r="H61" s="243"/>
      <c r="I61" s="243"/>
      <c r="K61" s="243"/>
      <c r="Q61" s="229"/>
      <c r="R61" s="229"/>
      <c r="AB61" s="350"/>
      <c r="AC61" s="351"/>
      <c r="AD61" s="351"/>
      <c r="AE61" s="351"/>
      <c r="AF61" s="351"/>
      <c r="AG61" s="351"/>
      <c r="AH61" s="351"/>
      <c r="AI61" s="351"/>
      <c r="AJ61" s="351"/>
      <c r="AK61" s="351"/>
      <c r="AL61" s="351"/>
      <c r="AM61" s="351"/>
      <c r="AN61" s="351"/>
      <c r="AO61" s="351"/>
      <c r="AP61" s="351"/>
      <c r="AQ61" s="351"/>
      <c r="AR61" s="351"/>
      <c r="AS61" s="351"/>
      <c r="AT61" s="352"/>
      <c r="AU61" s="44"/>
      <c r="AV61" s="267"/>
      <c r="AW61" s="267"/>
      <c r="AX61" s="288"/>
      <c r="AY61" s="288"/>
      <c r="AZ61" s="287"/>
      <c r="BA61" s="287"/>
      <c r="BB61" s="287"/>
      <c r="BC61" s="287"/>
      <c r="BD61" s="287"/>
      <c r="BE61" s="287"/>
      <c r="BF61" s="287"/>
      <c r="BG61" s="287"/>
      <c r="BH61" s="287"/>
      <c r="BI61" s="287"/>
      <c r="BJ61" s="287"/>
      <c r="BK61" s="287"/>
      <c r="BL61" s="302"/>
      <c r="BM61" s="303"/>
      <c r="BN61" s="303"/>
      <c r="BO61" s="303"/>
      <c r="BP61" s="303"/>
      <c r="BQ61" s="303"/>
      <c r="BR61" s="303"/>
      <c r="BS61" s="304"/>
    </row>
    <row r="62" spans="2:71" ht="22.5" customHeight="1" x14ac:dyDescent="0.25">
      <c r="AB62" s="345"/>
      <c r="AC62" s="346"/>
      <c r="AD62" s="346"/>
      <c r="AE62" s="346"/>
      <c r="AF62" s="346"/>
      <c r="AG62" s="346"/>
      <c r="AH62" s="346"/>
      <c r="AI62" s="346"/>
      <c r="AJ62" s="346"/>
      <c r="AK62" s="346"/>
      <c r="AL62" s="346"/>
      <c r="AM62" s="346"/>
      <c r="AN62" s="346"/>
      <c r="AO62" s="346"/>
      <c r="AP62" s="346"/>
      <c r="AQ62" s="346"/>
      <c r="AR62" s="346"/>
      <c r="AS62" s="346"/>
      <c r="AT62" s="347"/>
      <c r="AU62" s="44"/>
      <c r="AV62" s="267"/>
      <c r="AW62" s="267"/>
      <c r="AX62" s="288"/>
      <c r="AY62" s="288"/>
      <c r="AZ62" s="287"/>
      <c r="BA62" s="287"/>
      <c r="BB62" s="287"/>
      <c r="BC62" s="287"/>
      <c r="BD62" s="287"/>
      <c r="BE62" s="287"/>
      <c r="BF62" s="287"/>
      <c r="BG62" s="287"/>
      <c r="BH62" s="287"/>
      <c r="BI62" s="287"/>
      <c r="BJ62" s="287"/>
      <c r="BK62" s="287"/>
      <c r="BL62" s="305"/>
      <c r="BM62" s="306"/>
      <c r="BN62" s="306"/>
      <c r="BO62" s="306"/>
      <c r="BP62" s="306"/>
      <c r="BQ62" s="306"/>
      <c r="BR62" s="306"/>
      <c r="BS62" s="307"/>
    </row>
    <row r="63" spans="2:71" ht="22.5" customHeight="1" x14ac:dyDescent="0.25">
      <c r="AB63" s="345"/>
      <c r="AC63" s="346"/>
      <c r="AD63" s="346"/>
      <c r="AE63" s="346"/>
      <c r="AF63" s="346"/>
      <c r="AG63" s="346"/>
      <c r="AH63" s="346"/>
      <c r="AI63" s="346"/>
      <c r="AJ63" s="346"/>
      <c r="AK63" s="346"/>
      <c r="AL63" s="346"/>
      <c r="AM63" s="346"/>
      <c r="AN63" s="346"/>
      <c r="AO63" s="346"/>
      <c r="AP63" s="346"/>
      <c r="AQ63" s="346"/>
      <c r="AR63" s="346"/>
      <c r="AS63" s="346"/>
      <c r="AT63" s="347"/>
      <c r="AU63" s="44"/>
      <c r="AV63" s="44"/>
      <c r="AW63" s="44"/>
      <c r="AX63" s="44"/>
    </row>
    <row r="64" spans="2:71" ht="22.5" customHeight="1" x14ac:dyDescent="0.25">
      <c r="AB64" s="338"/>
      <c r="AC64" s="339"/>
      <c r="AD64" s="339"/>
      <c r="AE64" s="339"/>
      <c r="AF64" s="339"/>
      <c r="AG64" s="339"/>
      <c r="AH64" s="339"/>
      <c r="AI64" s="339"/>
      <c r="AJ64" s="339"/>
      <c r="AK64" s="339"/>
      <c r="AL64" s="339"/>
      <c r="AM64" s="339"/>
      <c r="AN64" s="339"/>
      <c r="AO64" s="339"/>
      <c r="AP64" s="339"/>
      <c r="AQ64" s="339"/>
      <c r="AR64" s="339"/>
      <c r="AS64" s="339"/>
      <c r="AT64" s="340"/>
      <c r="AU64" s="44"/>
      <c r="AV64" s="44"/>
    </row>
    <row r="65" spans="3:71" ht="22.5" customHeight="1" x14ac:dyDescent="0.25"/>
    <row r="66" spans="3:71" ht="22.5" customHeight="1" x14ac:dyDescent="0.25"/>
    <row r="67" spans="3:71" ht="82.5" customHeight="1" x14ac:dyDescent="0.25">
      <c r="C67" s="120" t="s">
        <v>259</v>
      </c>
      <c r="D67" s="121" t="s">
        <v>801</v>
      </c>
      <c r="E67" s="121" t="s">
        <v>802</v>
      </c>
      <c r="F67" s="121" t="s">
        <v>803</v>
      </c>
      <c r="G67" s="121" t="s">
        <v>804</v>
      </c>
      <c r="H67" s="121" t="s">
        <v>805</v>
      </c>
      <c r="I67" s="121"/>
      <c r="J67" s="121"/>
      <c r="K67" s="121"/>
      <c r="L67" s="121"/>
      <c r="M67" s="121"/>
      <c r="N67" s="121" t="s">
        <v>806</v>
      </c>
      <c r="O67" s="121"/>
      <c r="P67" s="121" t="s">
        <v>260</v>
      </c>
      <c r="Q67" s="121" t="s">
        <v>807</v>
      </c>
      <c r="R67" s="121" t="s">
        <v>808</v>
      </c>
      <c r="S67" s="121" t="s">
        <v>261</v>
      </c>
      <c r="T67" s="121" t="s">
        <v>262</v>
      </c>
      <c r="U67" s="121"/>
      <c r="V67" s="121"/>
      <c r="W67" s="121"/>
      <c r="X67" s="121" t="s">
        <v>263</v>
      </c>
      <c r="Y67" s="121" t="s">
        <v>264</v>
      </c>
      <c r="Z67" s="121"/>
      <c r="AA67" s="121" t="s">
        <v>1114</v>
      </c>
      <c r="AB67" s="121" t="s">
        <v>1114</v>
      </c>
      <c r="AC67" s="121" t="s">
        <v>1114</v>
      </c>
      <c r="AD67" s="121" t="s">
        <v>1114</v>
      </c>
      <c r="AE67" s="121" t="s">
        <v>1114</v>
      </c>
      <c r="AF67" s="121"/>
      <c r="AG67" s="121" t="s">
        <v>1114</v>
      </c>
      <c r="AH67" s="121"/>
      <c r="AI67" s="121"/>
      <c r="AJ67" s="121"/>
      <c r="AK67" s="121"/>
      <c r="AL67" s="121"/>
      <c r="AM67" s="121" t="s">
        <v>809</v>
      </c>
      <c r="AN67" s="121" t="s">
        <v>810</v>
      </c>
      <c r="AO67" s="121" t="s">
        <v>811</v>
      </c>
      <c r="AP67" s="121"/>
      <c r="AQ67" s="121" t="s">
        <v>814</v>
      </c>
      <c r="AR67" s="121" t="s">
        <v>812</v>
      </c>
      <c r="AS67" s="121" t="s">
        <v>816</v>
      </c>
      <c r="AT67" s="121" t="s">
        <v>815</v>
      </c>
      <c r="AU67" s="121" t="s">
        <v>813</v>
      </c>
      <c r="AV67" s="118"/>
      <c r="AW67" s="118" t="s">
        <v>265</v>
      </c>
      <c r="AX67" s="118"/>
      <c r="AY67" s="118"/>
      <c r="AZ67" s="121" t="s">
        <v>266</v>
      </c>
      <c r="BA67" s="121" t="s">
        <v>262</v>
      </c>
      <c r="BB67" s="121" t="s">
        <v>267</v>
      </c>
      <c r="BC67" s="121" t="s">
        <v>268</v>
      </c>
      <c r="BD67" s="121"/>
      <c r="BE67" s="121"/>
      <c r="BF67" s="111"/>
      <c r="BG67" s="111" t="s">
        <v>263</v>
      </c>
      <c r="BH67" s="121"/>
      <c r="BI67" s="121"/>
      <c r="BJ67" s="121"/>
      <c r="BK67" s="121"/>
      <c r="BL67" s="112"/>
      <c r="BM67" s="112" t="s">
        <v>264</v>
      </c>
      <c r="BN67" s="121" t="s">
        <v>269</v>
      </c>
      <c r="BO67" s="121" t="s">
        <v>270</v>
      </c>
      <c r="BP67" s="121"/>
      <c r="BQ67" s="121" t="s">
        <v>818</v>
      </c>
      <c r="BR67" s="121" t="s">
        <v>1114</v>
      </c>
      <c r="BS67" s="121" t="s">
        <v>1114</v>
      </c>
    </row>
    <row r="68" spans="3:71" ht="82.5" customHeight="1" x14ac:dyDescent="0.25">
      <c r="C68" s="120" t="s">
        <v>271</v>
      </c>
      <c r="D68" s="119" t="s">
        <v>1115</v>
      </c>
      <c r="E68" s="119" t="s">
        <v>1116</v>
      </c>
      <c r="F68" s="119" t="s">
        <v>1117</v>
      </c>
      <c r="G68" s="119" t="s">
        <v>1118</v>
      </c>
      <c r="H68" s="119" t="s">
        <v>1119</v>
      </c>
      <c r="I68" s="119"/>
      <c r="J68" s="119"/>
      <c r="K68" s="119"/>
      <c r="L68" s="119"/>
      <c r="M68" s="119"/>
      <c r="N68" s="119" t="s">
        <v>1120</v>
      </c>
      <c r="O68" s="119"/>
      <c r="P68" s="119" t="s">
        <v>1121</v>
      </c>
      <c r="Q68" s="119" t="s">
        <v>1122</v>
      </c>
      <c r="R68" s="119" t="s">
        <v>1123</v>
      </c>
      <c r="S68" s="119" t="s">
        <v>1124</v>
      </c>
      <c r="T68" s="119" t="s">
        <v>1125</v>
      </c>
      <c r="U68" s="119" t="s">
        <v>1113</v>
      </c>
      <c r="V68" s="119" t="s">
        <v>1113</v>
      </c>
      <c r="W68" s="119" t="s">
        <v>1113</v>
      </c>
      <c r="X68" s="119" t="s">
        <v>1126</v>
      </c>
      <c r="Y68" s="119" t="s">
        <v>1127</v>
      </c>
      <c r="Z68" s="119" t="s">
        <v>1113</v>
      </c>
      <c r="AA68" s="119" t="s">
        <v>1113</v>
      </c>
      <c r="AB68" s="119" t="s">
        <v>1113</v>
      </c>
      <c r="AC68" s="119" t="s">
        <v>1113</v>
      </c>
      <c r="AD68" s="119" t="s">
        <v>1113</v>
      </c>
      <c r="AE68" s="119" t="s">
        <v>1113</v>
      </c>
      <c r="AF68" s="119" t="s">
        <v>1113</v>
      </c>
      <c r="AG68" s="119" t="s">
        <v>1113</v>
      </c>
      <c r="AH68" s="119"/>
      <c r="AI68" s="119"/>
      <c r="AJ68" s="119"/>
      <c r="AK68" s="119"/>
      <c r="AL68" s="119"/>
      <c r="AM68" s="119" t="s">
        <v>1128</v>
      </c>
      <c r="AN68" s="119" t="s">
        <v>1129</v>
      </c>
      <c r="AO68" s="119" t="s">
        <v>1130</v>
      </c>
      <c r="AP68" s="119"/>
      <c r="AQ68" s="119" t="s">
        <v>1113</v>
      </c>
      <c r="AR68" s="119" t="s">
        <v>1131</v>
      </c>
      <c r="AS68" s="119" t="s">
        <v>1113</v>
      </c>
      <c r="AT68" s="119" t="s">
        <v>1113</v>
      </c>
      <c r="AU68" s="119" t="s">
        <v>1132</v>
      </c>
      <c r="AV68" s="119"/>
      <c r="AW68" s="119" t="s">
        <v>1133</v>
      </c>
      <c r="AX68" s="119"/>
      <c r="AY68" s="119"/>
      <c r="AZ68" s="119" t="s">
        <v>1134</v>
      </c>
      <c r="BA68" s="119" t="s">
        <v>1125</v>
      </c>
      <c r="BB68" s="119" t="s">
        <v>1135</v>
      </c>
      <c r="BC68" s="119" t="s">
        <v>1136</v>
      </c>
      <c r="BD68" s="119"/>
      <c r="BE68" s="119"/>
      <c r="BF68" s="119"/>
      <c r="BG68" s="119" t="s">
        <v>1126</v>
      </c>
      <c r="BH68" s="119"/>
      <c r="BI68" s="119"/>
      <c r="BJ68" s="119"/>
      <c r="BK68" s="119"/>
      <c r="BL68" s="119"/>
      <c r="BM68" s="119" t="s">
        <v>1127</v>
      </c>
      <c r="BN68" s="119"/>
      <c r="BO68" s="119"/>
      <c r="BP68" s="119"/>
      <c r="BQ68" s="119" t="s">
        <v>1137</v>
      </c>
      <c r="BR68" s="119" t="s">
        <v>1113</v>
      </c>
      <c r="BS68" s="119" t="s">
        <v>1113</v>
      </c>
    </row>
    <row r="69" spans="3:71" ht="22.5" customHeight="1" x14ac:dyDescent="0.25"/>
    <row r="70" spans="3:71" ht="22.5" customHeight="1" x14ac:dyDescent="0.25"/>
    <row r="71" spans="3:71" ht="22.5" customHeight="1" x14ac:dyDescent="0.25"/>
    <row r="72" spans="3:71" ht="45" customHeight="1" x14ac:dyDescent="0.4">
      <c r="C72" s="348"/>
      <c r="D72" s="349" t="s">
        <v>272</v>
      </c>
      <c r="E72" s="349"/>
      <c r="F72" s="349"/>
      <c r="G72" s="349"/>
      <c r="H72" s="349"/>
      <c r="I72" s="349"/>
      <c r="J72" s="349"/>
      <c r="K72" s="295"/>
      <c r="L72" s="295"/>
      <c r="M72" s="295"/>
      <c r="N72" s="295"/>
      <c r="O72" s="295"/>
      <c r="P72" s="295"/>
      <c r="Q72" s="295"/>
      <c r="R72" s="295"/>
      <c r="S72" s="295"/>
      <c r="T72"/>
    </row>
    <row r="73" spans="3:71" ht="47.25" customHeight="1" x14ac:dyDescent="0.3">
      <c r="C73" s="348"/>
      <c r="D73" s="122" t="s">
        <v>273</v>
      </c>
      <c r="E73" s="225" t="s">
        <v>274</v>
      </c>
      <c r="F73" s="122" t="s">
        <v>275</v>
      </c>
      <c r="G73" s="122" t="s">
        <v>276</v>
      </c>
      <c r="H73" s="122" t="s">
        <v>277</v>
      </c>
      <c r="I73" s="122" t="s">
        <v>278</v>
      </c>
      <c r="J73" s="225" t="s">
        <v>279</v>
      </c>
      <c r="K73" s="295"/>
      <c r="L73" s="295"/>
      <c r="M73" s="295"/>
      <c r="N73" s="295"/>
      <c r="O73" s="295"/>
      <c r="P73" s="295"/>
      <c r="Q73" s="295"/>
      <c r="R73" s="295"/>
      <c r="S73" s="295"/>
      <c r="T73"/>
    </row>
    <row r="74" spans="3:71" ht="50.25" customHeight="1" x14ac:dyDescent="0.35">
      <c r="C74" s="231" t="s">
        <v>280</v>
      </c>
      <c r="D74" s="226"/>
      <c r="E74" s="250">
        <v>34.663333333333334</v>
      </c>
      <c r="F74" s="227">
        <v>0.21021791637117815</v>
      </c>
      <c r="G74" s="227"/>
      <c r="H74" s="227" t="s">
        <v>105</v>
      </c>
      <c r="I74" s="228"/>
      <c r="J74" s="226">
        <v>156.10080000000002</v>
      </c>
      <c r="K74" s="295"/>
      <c r="L74" s="295"/>
      <c r="M74" s="295"/>
      <c r="N74" s="295"/>
      <c r="O74" s="295"/>
      <c r="P74" s="295"/>
      <c r="Q74" s="295"/>
      <c r="R74" s="295"/>
      <c r="S74" s="295"/>
      <c r="T74"/>
    </row>
    <row r="75" spans="3:71" ht="52.5" customHeight="1" x14ac:dyDescent="0.35">
      <c r="C75" s="231" t="s">
        <v>281</v>
      </c>
      <c r="D75" s="226"/>
      <c r="E75" s="250">
        <v>31.536666666666665</v>
      </c>
      <c r="F75" s="227">
        <v>0.15825138158477614</v>
      </c>
      <c r="G75" s="227"/>
      <c r="H75" s="227" t="s">
        <v>105</v>
      </c>
      <c r="I75" s="228"/>
      <c r="J75" s="226">
        <v>149.97920000000002</v>
      </c>
      <c r="K75" s="295"/>
      <c r="L75" s="295"/>
      <c r="M75" s="295"/>
      <c r="N75" s="295"/>
      <c r="O75" s="295"/>
      <c r="P75" s="295"/>
      <c r="Q75" s="295"/>
      <c r="R75" s="295"/>
      <c r="S75" s="295"/>
      <c r="T75"/>
    </row>
    <row r="76" spans="3:71" ht="22.5" customHeight="1" x14ac:dyDescent="0.25">
      <c r="K76" s="295"/>
      <c r="L76" s="295"/>
      <c r="M76" s="295"/>
      <c r="N76" s="295"/>
      <c r="O76" s="295"/>
      <c r="P76" s="295"/>
      <c r="Q76" s="295"/>
      <c r="R76" s="295"/>
      <c r="S76" s="295"/>
      <c r="T76"/>
    </row>
    <row r="77" spans="3:71" ht="22.5" customHeight="1" x14ac:dyDescent="0.25">
      <c r="K77" s="295"/>
      <c r="L77" s="295"/>
      <c r="M77" s="295"/>
      <c r="N77" s="295"/>
      <c r="O77" s="295"/>
      <c r="P77" s="295"/>
      <c r="Q77" s="295"/>
      <c r="R77" s="295"/>
      <c r="S77" s="295"/>
      <c r="T77"/>
    </row>
    <row r="78" spans="3:71" ht="22.5" customHeight="1" x14ac:dyDescent="0.25">
      <c r="K78" s="295"/>
      <c r="L78" s="295"/>
      <c r="M78" s="295"/>
      <c r="N78" s="295"/>
      <c r="O78" s="295"/>
      <c r="P78" s="295"/>
      <c r="Q78" s="295"/>
      <c r="R78" s="295"/>
      <c r="S78" s="295"/>
      <c r="T78"/>
    </row>
    <row r="79" spans="3:71" ht="22.5" customHeight="1" x14ac:dyDescent="0.25">
      <c r="K79" s="295"/>
      <c r="L79" s="295"/>
      <c r="M79" s="295"/>
      <c r="N79" s="295"/>
      <c r="O79" s="295"/>
      <c r="P79" s="295"/>
      <c r="Q79" s="295"/>
      <c r="R79" s="295"/>
      <c r="S79" s="295"/>
      <c r="T79"/>
    </row>
    <row r="80" spans="3:71" ht="22.5" customHeight="1" x14ac:dyDescent="0.25">
      <c r="K80" s="295"/>
      <c r="L80" s="295"/>
      <c r="M80" s="295"/>
      <c r="N80" s="295"/>
      <c r="O80" s="295"/>
      <c r="P80" s="295"/>
      <c r="Q80" s="295"/>
      <c r="R80" s="295"/>
      <c r="S80" s="295"/>
      <c r="T80"/>
    </row>
    <row r="81" spans="7:33" ht="22.5" customHeight="1" x14ac:dyDescent="0.25">
      <c r="K81" s="295"/>
      <c r="L81" s="295"/>
      <c r="M81" s="295"/>
      <c r="N81" s="295"/>
      <c r="O81" s="295"/>
      <c r="P81" s="295"/>
      <c r="Q81" s="295"/>
      <c r="R81" s="295"/>
      <c r="S81" s="295"/>
      <c r="T81"/>
    </row>
    <row r="82" spans="7:33" ht="22.5" customHeight="1" x14ac:dyDescent="0.25">
      <c r="K82" s="295"/>
      <c r="L82" s="295"/>
      <c r="M82" s="295"/>
      <c r="N82" s="295"/>
      <c r="O82" s="295"/>
      <c r="P82" s="295"/>
      <c r="Q82" s="295"/>
      <c r="R82" s="295"/>
      <c r="S82" s="295"/>
      <c r="T82"/>
    </row>
    <row r="83" spans="7:33" x14ac:dyDescent="0.25">
      <c r="K83" s="295"/>
      <c r="L83" s="295"/>
      <c r="M83" s="295"/>
      <c r="N83" s="295"/>
      <c r="O83" s="295"/>
      <c r="P83" s="295"/>
      <c r="Q83" s="295"/>
      <c r="R83" s="295"/>
      <c r="S83" s="295"/>
      <c r="T83"/>
    </row>
    <row r="84" spans="7:33" x14ac:dyDescent="0.25">
      <c r="K84" s="295"/>
      <c r="L84" s="295"/>
      <c r="M84" s="295"/>
      <c r="N84" s="295"/>
      <c r="O84" s="295"/>
      <c r="P84" s="295"/>
      <c r="Q84" s="295"/>
      <c r="R84" s="295"/>
      <c r="S84" s="295"/>
      <c r="T84"/>
    </row>
    <row r="86" spans="7:33" ht="13.8" x14ac:dyDescent="0.25">
      <c r="G86" s="335"/>
      <c r="H86" s="335"/>
      <c r="I86" s="335"/>
    </row>
    <row r="87" spans="7:33" ht="13.8" x14ac:dyDescent="0.25">
      <c r="G87" s="335"/>
      <c r="H87" s="335"/>
      <c r="I87" s="335"/>
    </row>
    <row r="88" spans="7:33" x14ac:dyDescent="0.25">
      <c r="AB88" s="16"/>
      <c r="AG88" s="16"/>
    </row>
    <row r="89" spans="7:33" x14ac:dyDescent="0.25">
      <c r="AB89" s="16"/>
      <c r="AG89" s="16"/>
    </row>
    <row r="90" spans="7:33" x14ac:dyDescent="0.25">
      <c r="AB90" s="16"/>
      <c r="AG90" s="16"/>
    </row>
    <row r="91" spans="7:33" x14ac:dyDescent="0.25">
      <c r="AB91" s="16"/>
      <c r="AG91" s="16"/>
    </row>
    <row r="92" spans="7:33" x14ac:dyDescent="0.25">
      <c r="AB92" s="16"/>
      <c r="AG92" s="16"/>
    </row>
    <row r="100" spans="29:31" ht="13.8" x14ac:dyDescent="0.25">
      <c r="AC100" s="337"/>
      <c r="AD100" s="337"/>
      <c r="AE100" s="337"/>
    </row>
    <row r="101" spans="29:31" ht="13.8" x14ac:dyDescent="0.25">
      <c r="AC101" s="335"/>
      <c r="AD101" s="335"/>
      <c r="AE101" s="335"/>
    </row>
    <row r="102" spans="29:31" ht="13.8" x14ac:dyDescent="0.25">
      <c r="AC102" s="335"/>
      <c r="AD102" s="335"/>
      <c r="AE102" s="335"/>
    </row>
    <row r="103" spans="29:31" ht="13.8" x14ac:dyDescent="0.25">
      <c r="AC103" s="335"/>
      <c r="AD103" s="335"/>
      <c r="AE103" s="335"/>
    </row>
    <row r="104" spans="29:31" ht="13.8" x14ac:dyDescent="0.25">
      <c r="AC104" s="335"/>
      <c r="AD104" s="335"/>
      <c r="AE104" s="335"/>
    </row>
  </sheetData>
  <mergeCells count="340">
    <mergeCell ref="AC100:AE100"/>
    <mergeCell ref="AC101:AE101"/>
    <mergeCell ref="AC102:AE102"/>
    <mergeCell ref="AC103:AE103"/>
    <mergeCell ref="AC104:AE104"/>
    <mergeCell ref="K81:S81"/>
    <mergeCell ref="K82:S82"/>
    <mergeCell ref="K83:S83"/>
    <mergeCell ref="K84:S84"/>
    <mergeCell ref="G86:I86"/>
    <mergeCell ref="G87:I87"/>
    <mergeCell ref="K75:S75"/>
    <mergeCell ref="K76:S76"/>
    <mergeCell ref="K77:S77"/>
    <mergeCell ref="K78:S78"/>
    <mergeCell ref="K79:S79"/>
    <mergeCell ref="K80:S80"/>
    <mergeCell ref="AB64:AT64"/>
    <mergeCell ref="C72:C73"/>
    <mergeCell ref="D72:J72"/>
    <mergeCell ref="K72:S72"/>
    <mergeCell ref="K73:S73"/>
    <mergeCell ref="K74:S74"/>
    <mergeCell ref="AZ60:BA62"/>
    <mergeCell ref="BB60:BK62"/>
    <mergeCell ref="BL60:BS62"/>
    <mergeCell ref="AB61:AT61"/>
    <mergeCell ref="AB62:AT62"/>
    <mergeCell ref="AB63:AT63"/>
    <mergeCell ref="C60:D60"/>
    <mergeCell ref="I60:J60"/>
    <mergeCell ref="Q60:R60"/>
    <mergeCell ref="S60:T60"/>
    <mergeCell ref="AV60:AW62"/>
    <mergeCell ref="AX60:AY62"/>
    <mergeCell ref="BB57:BK59"/>
    <mergeCell ref="BL57:BS59"/>
    <mergeCell ref="I58:J58"/>
    <mergeCell ref="Q58:R58"/>
    <mergeCell ref="S58:T58"/>
    <mergeCell ref="C59:D59"/>
    <mergeCell ref="I59:J59"/>
    <mergeCell ref="Q59:R59"/>
    <mergeCell ref="S59:T59"/>
    <mergeCell ref="AB59:AT59"/>
    <mergeCell ref="BB56:BK56"/>
    <mergeCell ref="BL56:BS56"/>
    <mergeCell ref="B57:B58"/>
    <mergeCell ref="C57:D58"/>
    <mergeCell ref="E57:L57"/>
    <mergeCell ref="M57:P57"/>
    <mergeCell ref="Q57:T57"/>
    <mergeCell ref="AV57:AW59"/>
    <mergeCell ref="AX57:AY59"/>
    <mergeCell ref="AZ57:BA59"/>
    <mergeCell ref="B51:C51"/>
    <mergeCell ref="B52:C52"/>
    <mergeCell ref="B53:C53"/>
    <mergeCell ref="B55:Y56"/>
    <mergeCell ref="AV55:BS55"/>
    <mergeCell ref="AB56:AD57"/>
    <mergeCell ref="AE56:AT57"/>
    <mergeCell ref="AV56:AW56"/>
    <mergeCell ref="AX56:AY56"/>
    <mergeCell ref="AZ56:BA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AH26:AI26"/>
    <mergeCell ref="AJ26:AK26"/>
    <mergeCell ref="B29:C29"/>
    <mergeCell ref="B30:C30"/>
    <mergeCell ref="B31:C31"/>
    <mergeCell ref="B32:C32"/>
    <mergeCell ref="BP25:BS26"/>
    <mergeCell ref="I26:J26"/>
    <mergeCell ref="K26:L26"/>
    <mergeCell ref="N26:O26"/>
    <mergeCell ref="P26:Q26"/>
    <mergeCell ref="S26:T26"/>
    <mergeCell ref="U26:W26"/>
    <mergeCell ref="Y26:Z26"/>
    <mergeCell ref="AA26:AB26"/>
    <mergeCell ref="AD26:AE26"/>
    <mergeCell ref="AO25:AP26"/>
    <mergeCell ref="AQ25:AQ26"/>
    <mergeCell ref="AR25:AU26"/>
    <mergeCell ref="AV25:BE26"/>
    <mergeCell ref="BF25:BK26"/>
    <mergeCell ref="BL25:BO26"/>
    <mergeCell ref="AM24:AU24"/>
    <mergeCell ref="AV24:BS24"/>
    <mergeCell ref="D25:E26"/>
    <mergeCell ref="F25:H26"/>
    <mergeCell ref="I25:M25"/>
    <mergeCell ref="N25:R25"/>
    <mergeCell ref="S25:Z25"/>
    <mergeCell ref="AA25:AG25"/>
    <mergeCell ref="AH25:AL25"/>
    <mergeCell ref="AM25:AN26"/>
    <mergeCell ref="BG22:BJ22"/>
    <mergeCell ref="BK22:BL22"/>
    <mergeCell ref="BN22:BQ22"/>
    <mergeCell ref="BR22:BS22"/>
    <mergeCell ref="B24:C28"/>
    <mergeCell ref="D24:E24"/>
    <mergeCell ref="F24:H24"/>
    <mergeCell ref="I24:M24"/>
    <mergeCell ref="N24:AG24"/>
    <mergeCell ref="AH24:AL24"/>
    <mergeCell ref="BN20:BQ20"/>
    <mergeCell ref="BR20:BS20"/>
    <mergeCell ref="I21:M21"/>
    <mergeCell ref="N21:O21"/>
    <mergeCell ref="BG21:BJ21"/>
    <mergeCell ref="BK21:BL21"/>
    <mergeCell ref="BN21:BQ21"/>
    <mergeCell ref="BR21:BS21"/>
    <mergeCell ref="I20:M20"/>
    <mergeCell ref="N20:O20"/>
    <mergeCell ref="AZ20:BC20"/>
    <mergeCell ref="BD20:BE20"/>
    <mergeCell ref="BG20:BJ20"/>
    <mergeCell ref="BK20:BL20"/>
    <mergeCell ref="BR18:BS18"/>
    <mergeCell ref="I19:M19"/>
    <mergeCell ref="N19:O19"/>
    <mergeCell ref="AZ19:BC19"/>
    <mergeCell ref="BD19:BE19"/>
    <mergeCell ref="BG19:BJ19"/>
    <mergeCell ref="BK19:BL19"/>
    <mergeCell ref="BN19:BQ19"/>
    <mergeCell ref="BR19:BS19"/>
    <mergeCell ref="I18:P18"/>
    <mergeCell ref="AZ18:BC18"/>
    <mergeCell ref="BD18:BE18"/>
    <mergeCell ref="BG18:BJ18"/>
    <mergeCell ref="BK18:BL18"/>
    <mergeCell ref="BN18:BQ18"/>
    <mergeCell ref="BN16:BQ16"/>
    <mergeCell ref="BR16:BS16"/>
    <mergeCell ref="AR17:AV17"/>
    <mergeCell ref="AW17:AX17"/>
    <mergeCell ref="AZ17:BE17"/>
    <mergeCell ref="BG17:BJ17"/>
    <mergeCell ref="BK17:BL17"/>
    <mergeCell ref="BN17:BQ17"/>
    <mergeCell ref="BR17:BS17"/>
    <mergeCell ref="BR15:BS15"/>
    <mergeCell ref="I16:J16"/>
    <mergeCell ref="M16:N16"/>
    <mergeCell ref="R16:S16"/>
    <mergeCell ref="T16:U16"/>
    <mergeCell ref="W16:X16"/>
    <mergeCell ref="Y16:Z16"/>
    <mergeCell ref="AR16:AX16"/>
    <mergeCell ref="BG16:BJ16"/>
    <mergeCell ref="BK16:BL16"/>
    <mergeCell ref="Y15:Z15"/>
    <mergeCell ref="AZ15:BC15"/>
    <mergeCell ref="BD15:BE15"/>
    <mergeCell ref="BG15:BJ15"/>
    <mergeCell ref="BK15:BL15"/>
    <mergeCell ref="BN15:BQ15"/>
    <mergeCell ref="BG14:BJ14"/>
    <mergeCell ref="BK14:BL14"/>
    <mergeCell ref="BN14:BQ14"/>
    <mergeCell ref="BR14:BS14"/>
    <mergeCell ref="B15:D15"/>
    <mergeCell ref="E15:F15"/>
    <mergeCell ref="I15:P15"/>
    <mergeCell ref="R15:S15"/>
    <mergeCell ref="T15:U15"/>
    <mergeCell ref="W15:X15"/>
    <mergeCell ref="AK14:AN14"/>
    <mergeCell ref="AO14:AP14"/>
    <mergeCell ref="AR14:AV14"/>
    <mergeCell ref="AW14:AX14"/>
    <mergeCell ref="AZ14:BC14"/>
    <mergeCell ref="BD14:BE14"/>
    <mergeCell ref="B14:D14"/>
    <mergeCell ref="E14:F14"/>
    <mergeCell ref="R14:S14"/>
    <mergeCell ref="T14:U14"/>
    <mergeCell ref="W14:X14"/>
    <mergeCell ref="Y14:Z14"/>
    <mergeCell ref="AZ13:BC13"/>
    <mergeCell ref="BD13:BE13"/>
    <mergeCell ref="BG13:BJ13"/>
    <mergeCell ref="BK13:BL13"/>
    <mergeCell ref="BN13:BQ13"/>
    <mergeCell ref="BR13:BS13"/>
    <mergeCell ref="W13:X13"/>
    <mergeCell ref="Y13:Z13"/>
    <mergeCell ref="AK13:AN13"/>
    <mergeCell ref="AO13:AP13"/>
    <mergeCell ref="AR13:AV13"/>
    <mergeCell ref="AW13:AX13"/>
    <mergeCell ref="B13:D13"/>
    <mergeCell ref="E13:F13"/>
    <mergeCell ref="I13:L13"/>
    <mergeCell ref="M13:P13"/>
    <mergeCell ref="R13:S13"/>
    <mergeCell ref="T13:U13"/>
    <mergeCell ref="AZ12:BC12"/>
    <mergeCell ref="BD12:BE12"/>
    <mergeCell ref="BG12:BJ12"/>
    <mergeCell ref="BK12:BL12"/>
    <mergeCell ref="BN12:BQ12"/>
    <mergeCell ref="BR12:BS12"/>
    <mergeCell ref="BN11:BQ11"/>
    <mergeCell ref="BR11:BS11"/>
    <mergeCell ref="B12:D12"/>
    <mergeCell ref="E12:G12"/>
    <mergeCell ref="I12:L12"/>
    <mergeCell ref="M12:P12"/>
    <mergeCell ref="R12:AA12"/>
    <mergeCell ref="AK12:AP12"/>
    <mergeCell ref="AR12:AV12"/>
    <mergeCell ref="AW12:AX12"/>
    <mergeCell ref="BR10:BS10"/>
    <mergeCell ref="B11:D11"/>
    <mergeCell ref="E11:G11"/>
    <mergeCell ref="I11:P11"/>
    <mergeCell ref="AR11:AV11"/>
    <mergeCell ref="AW11:AX11"/>
    <mergeCell ref="AZ11:BC11"/>
    <mergeCell ref="BD11:BE11"/>
    <mergeCell ref="BG11:BJ11"/>
    <mergeCell ref="BK11:BL11"/>
    <mergeCell ref="AW10:AX10"/>
    <mergeCell ref="AZ10:BC10"/>
    <mergeCell ref="BD10:BE10"/>
    <mergeCell ref="BG10:BJ10"/>
    <mergeCell ref="BK10:BL10"/>
    <mergeCell ref="BN10:BQ10"/>
    <mergeCell ref="Y10:Z10"/>
    <mergeCell ref="AA10:AC10"/>
    <mergeCell ref="AE10:AG10"/>
    <mergeCell ref="AK10:AN10"/>
    <mergeCell ref="AO10:AP10"/>
    <mergeCell ref="AR10:AV10"/>
    <mergeCell ref="BD9:BE9"/>
    <mergeCell ref="BG9:BJ9"/>
    <mergeCell ref="BK9:BL9"/>
    <mergeCell ref="BN9:BQ9"/>
    <mergeCell ref="BR9:BS9"/>
    <mergeCell ref="B10:D10"/>
    <mergeCell ref="E10:G10"/>
    <mergeCell ref="I10:L10"/>
    <mergeCell ref="M10:P10"/>
    <mergeCell ref="R10:X10"/>
    <mergeCell ref="AE9:AG9"/>
    <mergeCell ref="AK9:AN9"/>
    <mergeCell ref="AO9:AP9"/>
    <mergeCell ref="AR9:AV9"/>
    <mergeCell ref="AW9:AX9"/>
    <mergeCell ref="AZ9:BC9"/>
    <mergeCell ref="BK8:BL8"/>
    <mergeCell ref="BN8:BQ8"/>
    <mergeCell ref="BR8:BS8"/>
    <mergeCell ref="B9:D9"/>
    <mergeCell ref="E9:G9"/>
    <mergeCell ref="I9:L9"/>
    <mergeCell ref="M9:P9"/>
    <mergeCell ref="R9:X9"/>
    <mergeCell ref="Y9:Z9"/>
    <mergeCell ref="AA9:AC9"/>
    <mergeCell ref="AO8:AP8"/>
    <mergeCell ref="AR8:AV8"/>
    <mergeCell ref="AW8:AX8"/>
    <mergeCell ref="AZ8:BC8"/>
    <mergeCell ref="BD8:BE8"/>
    <mergeCell ref="BG8:BJ8"/>
    <mergeCell ref="BR7:BS7"/>
    <mergeCell ref="B8:D8"/>
    <mergeCell ref="E8:G8"/>
    <mergeCell ref="I8:L8"/>
    <mergeCell ref="M8:O8"/>
    <mergeCell ref="R8:X8"/>
    <mergeCell ref="Y8:Z8"/>
    <mergeCell ref="AA8:AC8"/>
    <mergeCell ref="AE8:AG8"/>
    <mergeCell ref="AK8:AN8"/>
    <mergeCell ref="AW7:AX7"/>
    <mergeCell ref="AZ7:BC7"/>
    <mergeCell ref="BD7:BE7"/>
    <mergeCell ref="BG7:BJ7"/>
    <mergeCell ref="BK7:BL7"/>
    <mergeCell ref="BN7:BQ7"/>
    <mergeCell ref="Y7:Z7"/>
    <mergeCell ref="AA7:AC7"/>
    <mergeCell ref="AE7:AG7"/>
    <mergeCell ref="AK7:AN7"/>
    <mergeCell ref="AO7:AP7"/>
    <mergeCell ref="AR7:AV7"/>
    <mergeCell ref="AK6:AP6"/>
    <mergeCell ref="AR6:AX6"/>
    <mergeCell ref="AZ6:BE6"/>
    <mergeCell ref="BG6:BL6"/>
    <mergeCell ref="BN6:BS6"/>
    <mergeCell ref="B7:D7"/>
    <mergeCell ref="E7:G7"/>
    <mergeCell ref="I7:L7"/>
    <mergeCell ref="M7:P7"/>
    <mergeCell ref="R7:X7"/>
    <mergeCell ref="AE5:AG5"/>
    <mergeCell ref="B6:D6"/>
    <mergeCell ref="E6:G6"/>
    <mergeCell ref="I6:L6"/>
    <mergeCell ref="M6:P6"/>
    <mergeCell ref="R6:X6"/>
    <mergeCell ref="Y6:Z6"/>
    <mergeCell ref="AA6:AC6"/>
    <mergeCell ref="AE6:AG6"/>
    <mergeCell ref="B2:BS2"/>
    <mergeCell ref="B4:G5"/>
    <mergeCell ref="I4:P4"/>
    <mergeCell ref="R4:AH4"/>
    <mergeCell ref="AK4:BS4"/>
    <mergeCell ref="I5:L5"/>
    <mergeCell ref="M5:P5"/>
    <mergeCell ref="R5:X5"/>
    <mergeCell ref="Y5:Z5"/>
    <mergeCell ref="AA5:AC5"/>
  </mergeCells>
  <conditionalFormatting sqref="U29">
    <cfRule type="cellIs" dxfId="9" priority="9" operator="greaterThan">
      <formula>$V$23</formula>
    </cfRule>
    <cfRule type="cellIs" dxfId="8" priority="10" operator="lessThan">
      <formula>$U$23</formula>
    </cfRule>
  </conditionalFormatting>
  <conditionalFormatting sqref="U30:U52">
    <cfRule type="cellIs" dxfId="7" priority="7" operator="greaterThan">
      <formula>$V$23</formula>
    </cfRule>
    <cfRule type="cellIs" dxfId="6" priority="8" operator="lessThan">
      <formula>$U$23</formula>
    </cfRule>
  </conditionalFormatting>
  <conditionalFormatting sqref="Y29:Y52">
    <cfRule type="cellIs" dxfId="5" priority="5" operator="lessThan">
      <formula>$Y$23</formula>
    </cfRule>
    <cfRule type="cellIs" dxfId="4" priority="6" operator="greaterThan">
      <formula>$Z$23</formula>
    </cfRule>
  </conditionalFormatting>
  <conditionalFormatting sqref="M6:P6">
    <cfRule type="cellIs" dxfId="1" priority="1" operator="lessThan">
      <formula>$M$10</formula>
    </cfRule>
    <cfRule type="cellIs" dxfId="3" priority="3" operator="lessThan">
      <formula>$M$10</formula>
    </cfRule>
    <cfRule type="cellIs" dxfId="2" priority="4" operator="lessThan">
      <formula>$M$10</formula>
    </cfRule>
  </conditionalFormatting>
  <conditionalFormatting sqref="Y23">
    <cfRule type="cellIs" dxfId="0" priority="2" operator="lessThan">
      <formula>850</formula>
    </cfRule>
  </conditionalFormatting>
  <dataValidations count="1">
    <dataValidation type="list" allowBlank="1" showInputMessage="1" showErrorMessage="1" sqref="M28 R28 AG28 AL28" xr:uid="{50742583-BB35-4F64-83DD-5F1EB77B0BEC}"/>
  </dataValidations>
  <printOptions horizontalCentered="1"/>
  <pageMargins left="0.25" right="0.25" top="0.75" bottom="0.75" header="0.3" footer="0.3"/>
  <pageSetup paperSize="8" scale="23"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LeiturasdedadosdePI" altText="Leitura de dados do PI">
                <anchor moveWithCells="1" sizeWithCells="1">
                  <from>
                    <xdr:col>5</xdr:col>
                    <xdr:colOff>182880</xdr:colOff>
                    <xdr:row>60</xdr:row>
                    <xdr:rowOff>266700</xdr:rowOff>
                  </from>
                  <to>
                    <xdr:col>9</xdr:col>
                    <xdr:colOff>213360</xdr:colOff>
                    <xdr:row>64</xdr:row>
                    <xdr:rowOff>0</xdr:rowOff>
                  </to>
                </anchor>
              </controlPr>
            </control>
          </mc:Choice>
        </mc:AlternateContent>
        <mc:AlternateContent xmlns:mc="http://schemas.openxmlformats.org/markup-compatibility/2006">
          <mc:Choice Requires="x14">
            <control shapeId="6146" r:id="rId5" name="Button 2">
              <controlPr defaultSize="0" print="0" autoFill="0" autoPict="0" macro="[0]!PrepararNovoBTP">
                <anchor moveWithCells="1" sizeWithCells="1">
                  <from>
                    <xdr:col>1</xdr:col>
                    <xdr:colOff>0</xdr:colOff>
                    <xdr:row>60</xdr:row>
                    <xdr:rowOff>289560</xdr:rowOff>
                  </from>
                  <to>
                    <xdr:col>5</xdr:col>
                    <xdr:colOff>30480</xdr:colOff>
                    <xdr:row>64</xdr:row>
                    <xdr:rowOff>0</xdr:rowOff>
                  </to>
                </anchor>
              </controlPr>
            </control>
          </mc:Choice>
        </mc:AlternateContent>
        <mc:AlternateContent xmlns:mc="http://schemas.openxmlformats.org/markup-compatibility/2006">
          <mc:Choice Requires="x14">
            <control shapeId="6147" r:id="rId6" name="Button 3">
              <controlPr defaultSize="0" print="0" autoFill="0" autoPict="0" macro="[0]!DadosPVTeCrom" altText="Leitura de dados do PI">
                <anchor moveWithCells="1" sizeWithCells="1">
                  <from>
                    <xdr:col>9</xdr:col>
                    <xdr:colOff>373380</xdr:colOff>
                    <xdr:row>60</xdr:row>
                    <xdr:rowOff>266700</xdr:rowOff>
                  </from>
                  <to>
                    <xdr:col>13</xdr:col>
                    <xdr:colOff>403860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6FB92B35-001D-4080-909F-E758EFE126E0}">
          <x14:formula1>
            <xm:f>Plan1!$AN$6:$AN$8</xm:f>
          </x14:formula1>
          <xm:sqref>BK9:BL9</xm:sqref>
        </x14:dataValidation>
        <x14:dataValidation type="list" allowBlank="1" showInputMessage="1" showErrorMessage="1" xr:uid="{506C0171-8A3F-42E2-A46F-02FB0F4B960B}">
          <x14:formula1>
            <xm:f>Plan1!$G$4:$G$21</xm:f>
          </x14:formula1>
          <xm:sqref>E11:G11</xm:sqref>
        </x14:dataValidation>
        <x14:dataValidation type="list" allowBlank="1" showInputMessage="1" showErrorMessage="1" xr:uid="{B3A4DD57-9287-4B9D-866B-69B382C21225}">
          <x14:formula1>
            <xm:f>Tutorial!$CR$11:$CR$12</xm:f>
          </x14:formula1>
          <xm:sqref>BK7:BL7 BR7:BS7</xm:sqref>
        </x14:dataValidation>
        <x14:dataValidation type="list" allowBlank="1" showInputMessage="1" showErrorMessage="1" xr:uid="{409FA44D-AE21-4097-AA68-E30E85BFF9D0}">
          <x14:formula1>
            <xm:f>Tutorial!$CR$4:$CR$6</xm:f>
          </x14:formula1>
          <xm:sqref>E12:G12</xm:sqref>
        </x14:dataValidation>
        <x14:dataValidation type="list" allowBlank="1" showInputMessage="1" showErrorMessage="1" xr:uid="{FDF9587F-5CE9-48FD-A5C0-C5E6139B3490}">
          <x14:formula1>
            <xm:f>Tutorial!$CR$7:$CR$8</xm:f>
          </x14:formula1>
          <xm:sqref>X57</xm:sqref>
        </x14:dataValidation>
        <x14:dataValidation type="list" allowBlank="1" showInputMessage="1" showErrorMessage="1" xr:uid="{86BC5D50-8D0E-4EE5-BDE8-83F6FAC13096}">
          <x14:formula1>
            <xm:f>Tutorial!$CR$9:$CR$10</xm:f>
          </x14:formula1>
          <xm:sqref>M13:P13</xm:sqref>
        </x14:dataValidation>
        <x14:dataValidation type="list" allowBlank="1" showInputMessage="1" showErrorMessage="1" xr:uid="{81D9EF25-49B1-4471-BFB5-337D776FB2C5}">
          <x14:formula1>
            <xm:f>Tutorial!$CS$4:$CS$8</xm:f>
          </x14:formula1>
          <xm:sqref>M12:P12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autoPageBreaks="0" fitToPage="1"/>
  </sheetPr>
  <dimension ref="B2:BS104"/>
  <sheetViews>
    <sheetView showGridLines="0" topLeftCell="A22" zoomScale="85" zoomScaleNormal="85" workbookViewId="0">
      <selection activeCell="D29" sqref="D29"/>
    </sheetView>
  </sheetViews>
  <sheetFormatPr defaultColWidth="9.109375" defaultRowHeight="13.2" x14ac:dyDescent="0.25"/>
  <cols>
    <col min="1" max="1" width="2.6640625" style="5" customWidth="1"/>
    <col min="2" max="2" width="10.6640625" style="5" customWidth="1"/>
    <col min="3" max="3" width="15.44140625" style="5" customWidth="1"/>
    <col min="4" max="9" width="14.33203125" style="5" customWidth="1"/>
    <col min="10" max="10" width="16.109375" style="5" customWidth="1"/>
    <col min="11" max="11" width="20.44140625" style="5" customWidth="1"/>
    <col min="12" max="12" width="15.6640625" style="5" customWidth="1"/>
    <col min="13" max="13" width="19.33203125" style="5" customWidth="1"/>
    <col min="14" max="19" width="10.6640625" style="5" customWidth="1"/>
    <col min="20" max="20" width="21.33203125" style="5" customWidth="1"/>
    <col min="21" max="21" width="15.33203125" style="5" bestFit="1" customWidth="1"/>
    <col min="22" max="23" width="10.6640625" style="5" customWidth="1"/>
    <col min="24" max="24" width="12.44140625" style="5" customWidth="1"/>
    <col min="25" max="25" width="17.44140625" style="5" customWidth="1"/>
    <col min="26" max="28" width="10.6640625" style="5" customWidth="1"/>
    <col min="29" max="29" width="18.109375" style="5" customWidth="1"/>
    <col min="30" max="30" width="14.109375" style="5" customWidth="1"/>
    <col min="31" max="32" width="10.6640625" style="5" customWidth="1"/>
    <col min="33" max="33" width="15.5546875" style="5" customWidth="1"/>
    <col min="34" max="34" width="17" style="5" bestFit="1" customWidth="1"/>
    <col min="35" max="35" width="20.44140625" style="5" customWidth="1"/>
    <col min="36" max="36" width="10.6640625" style="5" customWidth="1"/>
    <col min="37" max="37" width="18" style="5" bestFit="1" customWidth="1"/>
    <col min="38" max="41" width="10.6640625" style="5" customWidth="1"/>
    <col min="42" max="42" width="16" style="5" customWidth="1"/>
    <col min="43" max="44" width="10.6640625" style="5" customWidth="1"/>
    <col min="45" max="45" width="12.5546875" style="5" customWidth="1"/>
    <col min="46" max="46" width="13.88671875" style="5" customWidth="1"/>
    <col min="47" max="48" width="10.6640625" style="5" customWidth="1"/>
    <col min="49" max="49" width="15.109375" style="5" bestFit="1" customWidth="1"/>
    <col min="50" max="64" width="10.6640625" style="5" customWidth="1"/>
    <col min="65" max="65" width="15.44140625" style="5" customWidth="1"/>
    <col min="66" max="71" width="10.6640625" style="5" customWidth="1"/>
    <col min="72" max="16384" width="9.109375" style="5"/>
  </cols>
  <sheetData>
    <row r="2" spans="2:71" ht="44.25" customHeight="1" x14ac:dyDescent="0.25">
      <c r="B2" s="353" t="s">
        <v>0</v>
      </c>
      <c r="C2" s="353"/>
      <c r="D2" s="353"/>
      <c r="E2" s="353"/>
      <c r="F2" s="353"/>
      <c r="G2" s="353"/>
      <c r="H2" s="353"/>
      <c r="I2" s="353"/>
      <c r="J2" s="353"/>
      <c r="K2" s="353"/>
      <c r="L2" s="353"/>
      <c r="M2" s="353"/>
      <c r="N2" s="353"/>
      <c r="O2" s="353"/>
      <c r="P2" s="353"/>
      <c r="Q2" s="353"/>
      <c r="R2" s="353"/>
      <c r="S2" s="353"/>
      <c r="T2" s="353"/>
      <c r="U2" s="353"/>
      <c r="V2" s="353"/>
      <c r="W2" s="353"/>
      <c r="X2" s="353"/>
      <c r="Y2" s="353"/>
      <c r="Z2" s="353"/>
      <c r="AA2" s="353"/>
      <c r="AB2" s="353"/>
      <c r="AC2" s="353"/>
      <c r="AD2" s="353"/>
      <c r="AE2" s="353"/>
      <c r="AF2" s="353"/>
      <c r="AG2" s="353"/>
      <c r="AH2" s="353"/>
      <c r="AI2" s="353"/>
      <c r="AJ2" s="353"/>
      <c r="AK2" s="353"/>
      <c r="AL2" s="353"/>
      <c r="AM2" s="353"/>
      <c r="AN2" s="353"/>
      <c r="AO2" s="353"/>
      <c r="AP2" s="353"/>
      <c r="AQ2" s="353"/>
      <c r="AR2" s="353"/>
      <c r="AS2" s="353"/>
      <c r="AT2" s="353"/>
      <c r="AU2" s="353"/>
      <c r="AV2" s="353"/>
      <c r="AW2" s="353"/>
      <c r="AX2" s="353"/>
      <c r="AY2" s="353"/>
      <c r="AZ2" s="353"/>
      <c r="BA2" s="353"/>
      <c r="BB2" s="353"/>
      <c r="BC2" s="353"/>
      <c r="BD2" s="353"/>
      <c r="BE2" s="353"/>
      <c r="BF2" s="353"/>
      <c r="BG2" s="353"/>
      <c r="BH2" s="353"/>
      <c r="BI2" s="353"/>
      <c r="BJ2" s="353"/>
      <c r="BK2" s="353"/>
      <c r="BL2" s="353"/>
      <c r="BM2" s="353"/>
      <c r="BN2" s="353"/>
      <c r="BO2" s="353"/>
      <c r="BP2" s="353"/>
      <c r="BQ2" s="353"/>
      <c r="BR2" s="353"/>
      <c r="BS2" s="353"/>
    </row>
    <row r="3" spans="2:71" x14ac:dyDescent="0.25">
      <c r="AO3" s="5">
        <v>0</v>
      </c>
    </row>
    <row r="4" spans="2:71" ht="22.5" customHeight="1" x14ac:dyDescent="0.25">
      <c r="B4" s="409" t="s">
        <v>1</v>
      </c>
      <c r="C4" s="410"/>
      <c r="D4" s="410"/>
      <c r="E4" s="410"/>
      <c r="F4" s="410"/>
      <c r="G4" s="411"/>
      <c r="I4" s="308" t="s">
        <v>2</v>
      </c>
      <c r="J4" s="308"/>
      <c r="K4" s="308"/>
      <c r="L4" s="308"/>
      <c r="M4" s="308"/>
      <c r="N4" s="308"/>
      <c r="O4" s="308"/>
      <c r="P4" s="308"/>
      <c r="R4" s="330" t="s">
        <v>3</v>
      </c>
      <c r="S4" s="331"/>
      <c r="T4" s="331"/>
      <c r="U4" s="331"/>
      <c r="V4" s="331"/>
      <c r="W4" s="331"/>
      <c r="X4" s="331"/>
      <c r="Y4" s="331"/>
      <c r="Z4" s="331"/>
      <c r="AA4" s="331"/>
      <c r="AB4" s="331"/>
      <c r="AC4" s="331"/>
      <c r="AD4" s="331"/>
      <c r="AE4" s="331"/>
      <c r="AF4" s="331"/>
      <c r="AG4" s="331"/>
      <c r="AH4" s="332"/>
      <c r="AK4" s="377" t="s">
        <v>4</v>
      </c>
      <c r="AL4" s="378"/>
      <c r="AM4" s="378"/>
      <c r="AN4" s="378"/>
      <c r="AO4" s="378"/>
      <c r="AP4" s="378"/>
      <c r="AQ4" s="378"/>
      <c r="AR4" s="378"/>
      <c r="AS4" s="378"/>
      <c r="AT4" s="378"/>
      <c r="AU4" s="378"/>
      <c r="AV4" s="378"/>
      <c r="AW4" s="378"/>
      <c r="AX4" s="378"/>
      <c r="AY4" s="378"/>
      <c r="AZ4" s="378"/>
      <c r="BA4" s="378"/>
      <c r="BB4" s="378"/>
      <c r="BC4" s="378"/>
      <c r="BD4" s="378"/>
      <c r="BE4" s="378"/>
      <c r="BF4" s="378"/>
      <c r="BG4" s="378"/>
      <c r="BH4" s="378"/>
      <c r="BI4" s="378"/>
      <c r="BJ4" s="378"/>
      <c r="BK4" s="378"/>
      <c r="BL4" s="378"/>
      <c r="BM4" s="378"/>
      <c r="BN4" s="378"/>
      <c r="BO4" s="378"/>
      <c r="BP4" s="378"/>
      <c r="BQ4" s="378"/>
      <c r="BR4" s="378"/>
      <c r="BS4" s="379"/>
    </row>
    <row r="5" spans="2:71" ht="22.5" customHeight="1" x14ac:dyDescent="0.25">
      <c r="B5" s="412"/>
      <c r="C5" s="413"/>
      <c r="D5" s="413"/>
      <c r="E5" s="413"/>
      <c r="F5" s="413"/>
      <c r="G5" s="414"/>
      <c r="I5" s="357" t="s">
        <v>5</v>
      </c>
      <c r="J5" s="357"/>
      <c r="K5" s="357"/>
      <c r="L5" s="357"/>
      <c r="M5" s="380">
        <v>45311.375</v>
      </c>
      <c r="N5" s="380"/>
      <c r="O5" s="380"/>
      <c r="P5" s="380"/>
      <c r="Q5" s="52"/>
      <c r="R5" s="357" t="s">
        <v>6</v>
      </c>
      <c r="S5" s="357"/>
      <c r="T5" s="357"/>
      <c r="U5" s="357"/>
      <c r="V5" s="357"/>
      <c r="W5" s="357"/>
      <c r="X5" s="357"/>
      <c r="Y5" s="382" t="s">
        <v>1099</v>
      </c>
      <c r="Z5" s="383"/>
      <c r="AA5" s="357" t="s">
        <v>7</v>
      </c>
      <c r="AB5" s="357"/>
      <c r="AC5" s="357"/>
      <c r="AD5" s="245">
        <v>0.67</v>
      </c>
      <c r="AE5" s="388" t="s">
        <v>8</v>
      </c>
      <c r="AF5" s="389"/>
      <c r="AG5" s="390"/>
      <c r="AH5" s="94" t="s">
        <v>9</v>
      </c>
      <c r="AO5" s="5">
        <v>0</v>
      </c>
      <c r="BK5" s="16"/>
    </row>
    <row r="6" spans="2:71" ht="22.5" customHeight="1" x14ac:dyDescent="0.25">
      <c r="B6" s="388" t="s">
        <v>10</v>
      </c>
      <c r="C6" s="389"/>
      <c r="D6" s="390"/>
      <c r="E6" s="393" t="s">
        <v>11</v>
      </c>
      <c r="F6" s="394"/>
      <c r="G6" s="395"/>
      <c r="I6" s="357" t="s">
        <v>12</v>
      </c>
      <c r="J6" s="357"/>
      <c r="K6" s="357"/>
      <c r="L6" s="357"/>
      <c r="M6" s="380">
        <v>45311.375</v>
      </c>
      <c r="N6" s="380"/>
      <c r="O6" s="380"/>
      <c r="P6" s="380"/>
      <c r="Q6" s="52"/>
      <c r="R6" s="357" t="s">
        <v>13</v>
      </c>
      <c r="S6" s="357"/>
      <c r="T6" s="357"/>
      <c r="U6" s="357"/>
      <c r="V6" s="357"/>
      <c r="W6" s="357"/>
      <c r="X6" s="357"/>
      <c r="Y6" s="384">
        <v>45302</v>
      </c>
      <c r="Z6" s="383"/>
      <c r="AA6" s="357" t="s">
        <v>14</v>
      </c>
      <c r="AB6" s="357"/>
      <c r="AC6" s="357"/>
      <c r="AD6" s="245" t="s">
        <v>9</v>
      </c>
      <c r="AE6" s="357" t="s">
        <v>15</v>
      </c>
      <c r="AF6" s="357"/>
      <c r="AG6" s="357"/>
      <c r="AH6" s="94" t="s">
        <v>9</v>
      </c>
      <c r="AK6" s="377" t="s">
        <v>16</v>
      </c>
      <c r="AL6" s="378"/>
      <c r="AM6" s="378"/>
      <c r="AN6" s="378"/>
      <c r="AO6" s="378"/>
      <c r="AP6" s="379"/>
      <c r="AQ6" s="55"/>
      <c r="AR6" s="377" t="s">
        <v>17</v>
      </c>
      <c r="AS6" s="378"/>
      <c r="AT6" s="378"/>
      <c r="AU6" s="378"/>
      <c r="AV6" s="378"/>
      <c r="AW6" s="378"/>
      <c r="AX6" s="379"/>
      <c r="AZ6" s="377" t="s">
        <v>18</v>
      </c>
      <c r="BA6" s="378"/>
      <c r="BB6" s="378"/>
      <c r="BC6" s="378"/>
      <c r="BD6" s="378"/>
      <c r="BE6" s="379"/>
      <c r="BG6" s="377" t="s">
        <v>19</v>
      </c>
      <c r="BH6" s="378"/>
      <c r="BI6" s="378"/>
      <c r="BJ6" s="378"/>
      <c r="BK6" s="378"/>
      <c r="BL6" s="379"/>
      <c r="BN6" s="377" t="s">
        <v>20</v>
      </c>
      <c r="BO6" s="378"/>
      <c r="BP6" s="378"/>
      <c r="BQ6" s="378"/>
      <c r="BR6" s="378"/>
      <c r="BS6" s="379"/>
    </row>
    <row r="7" spans="2:71" ht="22.5" customHeight="1" x14ac:dyDescent="0.25">
      <c r="B7" s="385" t="s">
        <v>21</v>
      </c>
      <c r="C7" s="386"/>
      <c r="D7" s="387"/>
      <c r="E7" s="396" t="s">
        <v>22</v>
      </c>
      <c r="F7" s="397"/>
      <c r="G7" s="398"/>
      <c r="I7" s="357" t="s">
        <v>23</v>
      </c>
      <c r="J7" s="357"/>
      <c r="K7" s="357"/>
      <c r="L7" s="357"/>
      <c r="M7" s="380">
        <v>45311.791666666664</v>
      </c>
      <c r="N7" s="380"/>
      <c r="O7" s="380"/>
      <c r="P7" s="380"/>
      <c r="Q7" s="52"/>
      <c r="R7" s="357" t="s">
        <v>24</v>
      </c>
      <c r="S7" s="357"/>
      <c r="T7" s="357"/>
      <c r="U7" s="357"/>
      <c r="V7" s="357"/>
      <c r="W7" s="357"/>
      <c r="X7" s="357"/>
      <c r="Y7" s="382" t="s">
        <v>1097</v>
      </c>
      <c r="Z7" s="383"/>
      <c r="AA7" s="357" t="s">
        <v>25</v>
      </c>
      <c r="AB7" s="357"/>
      <c r="AC7" s="357"/>
      <c r="AD7" s="246">
        <v>157305</v>
      </c>
      <c r="AE7" s="388" t="s">
        <v>26</v>
      </c>
      <c r="AF7" s="389"/>
      <c r="AG7" s="390"/>
      <c r="AH7" s="247">
        <v>949.1</v>
      </c>
      <c r="AK7" s="371" t="s">
        <v>27</v>
      </c>
      <c r="AL7" s="372"/>
      <c r="AM7" s="372"/>
      <c r="AN7" s="373"/>
      <c r="AO7" s="405" t="s">
        <v>28</v>
      </c>
      <c r="AP7" s="370"/>
      <c r="AR7" s="371" t="s">
        <v>29</v>
      </c>
      <c r="AS7" s="372"/>
      <c r="AT7" s="372"/>
      <c r="AU7" s="372"/>
      <c r="AV7" s="373"/>
      <c r="AW7" s="360" t="s">
        <v>30</v>
      </c>
      <c r="AX7" s="370"/>
      <c r="AZ7" s="371" t="s">
        <v>31</v>
      </c>
      <c r="BA7" s="372"/>
      <c r="BB7" s="372"/>
      <c r="BC7" s="373"/>
      <c r="BD7" s="360" t="s">
        <v>32</v>
      </c>
      <c r="BE7" s="361"/>
      <c r="BG7" s="371" t="s">
        <v>33</v>
      </c>
      <c r="BH7" s="372"/>
      <c r="BI7" s="372"/>
      <c r="BJ7" s="373"/>
      <c r="BK7" s="360" t="s">
        <v>34</v>
      </c>
      <c r="BL7" s="361"/>
      <c r="BN7" s="371" t="s">
        <v>33</v>
      </c>
      <c r="BO7" s="372"/>
      <c r="BP7" s="372"/>
      <c r="BQ7" s="373"/>
      <c r="BR7" s="360" t="s">
        <v>34</v>
      </c>
      <c r="BS7" s="361"/>
    </row>
    <row r="8" spans="2:71" ht="22.5" customHeight="1" x14ac:dyDescent="0.25">
      <c r="B8" s="388" t="s">
        <v>35</v>
      </c>
      <c r="C8" s="389"/>
      <c r="D8" s="390"/>
      <c r="E8" s="393" t="s">
        <v>36</v>
      </c>
      <c r="F8" s="394"/>
      <c r="G8" s="395"/>
      <c r="I8" s="357" t="s">
        <v>37</v>
      </c>
      <c r="J8" s="357"/>
      <c r="K8" s="357"/>
      <c r="L8" s="357"/>
      <c r="M8" s="367">
        <f>M7-M6</f>
        <v>0.41666666666424135</v>
      </c>
      <c r="N8" s="368"/>
      <c r="O8" s="369"/>
      <c r="P8" s="91" t="s">
        <v>38</v>
      </c>
      <c r="Q8" s="53"/>
      <c r="R8" s="357" t="s">
        <v>39</v>
      </c>
      <c r="S8" s="357"/>
      <c r="T8" s="357"/>
      <c r="U8" s="357"/>
      <c r="V8" s="357"/>
      <c r="W8" s="357"/>
      <c r="X8" s="357"/>
      <c r="Y8" s="384">
        <v>45275</v>
      </c>
      <c r="Z8" s="383"/>
      <c r="AA8" s="357" t="s">
        <v>40</v>
      </c>
      <c r="AB8" s="357"/>
      <c r="AC8" s="357"/>
      <c r="AD8" s="245" t="s">
        <v>9</v>
      </c>
      <c r="AE8" s="388" t="s">
        <v>41</v>
      </c>
      <c r="AF8" s="389"/>
      <c r="AG8" s="390"/>
      <c r="AH8" s="247">
        <v>0.97899999999999998</v>
      </c>
      <c r="AK8" s="371" t="s">
        <v>42</v>
      </c>
      <c r="AL8" s="372"/>
      <c r="AM8" s="372"/>
      <c r="AN8" s="373"/>
      <c r="AO8" s="405">
        <v>80180876</v>
      </c>
      <c r="AP8" s="370"/>
      <c r="AR8" s="371" t="s">
        <v>43</v>
      </c>
      <c r="AS8" s="372"/>
      <c r="AT8" s="372"/>
      <c r="AU8" s="372"/>
      <c r="AV8" s="373"/>
      <c r="AW8" s="360" t="s">
        <v>44</v>
      </c>
      <c r="AX8" s="370"/>
      <c r="AZ8" s="371" t="s">
        <v>45</v>
      </c>
      <c r="BA8" s="372"/>
      <c r="BB8" s="372"/>
      <c r="BC8" s="373"/>
      <c r="BD8" s="360">
        <v>800864</v>
      </c>
      <c r="BE8" s="361"/>
      <c r="BG8" s="371" t="s">
        <v>46</v>
      </c>
      <c r="BH8" s="372"/>
      <c r="BI8" s="372"/>
      <c r="BJ8" s="373"/>
      <c r="BK8" s="360" t="s">
        <v>47</v>
      </c>
      <c r="BL8" s="361"/>
      <c r="BN8" s="371" t="s">
        <v>46</v>
      </c>
      <c r="BO8" s="372"/>
      <c r="BP8" s="372"/>
      <c r="BQ8" s="373"/>
      <c r="BR8" s="360" t="s">
        <v>48</v>
      </c>
      <c r="BS8" s="361"/>
    </row>
    <row r="9" spans="2:71" ht="22.5" customHeight="1" x14ac:dyDescent="0.2">
      <c r="B9" s="388" t="s">
        <v>49</v>
      </c>
      <c r="C9" s="389"/>
      <c r="D9" s="390"/>
      <c r="E9" s="399">
        <v>109</v>
      </c>
      <c r="F9" s="400"/>
      <c r="G9" s="401"/>
      <c r="I9" s="357" t="s">
        <v>50</v>
      </c>
      <c r="J9" s="357"/>
      <c r="K9" s="357"/>
      <c r="L9" s="357"/>
      <c r="M9" s="381">
        <v>45312.37636574074</v>
      </c>
      <c r="N9" s="381"/>
      <c r="O9" s="381"/>
      <c r="P9" s="381"/>
      <c r="Q9" s="54"/>
      <c r="R9" s="357" t="s">
        <v>51</v>
      </c>
      <c r="S9" s="357"/>
      <c r="T9" s="357"/>
      <c r="U9" s="357"/>
      <c r="V9" s="357"/>
      <c r="W9" s="357"/>
      <c r="X9" s="357"/>
      <c r="Y9" s="382" t="s">
        <v>1098</v>
      </c>
      <c r="Z9" s="383"/>
      <c r="AA9" s="357" t="s">
        <v>52</v>
      </c>
      <c r="AB9" s="357"/>
      <c r="AC9" s="357"/>
      <c r="AD9" s="247">
        <f>vaporH2O!J105</f>
        <v>9.9573930271326319</v>
      </c>
      <c r="AE9" s="388" t="s">
        <v>53</v>
      </c>
      <c r="AF9" s="389"/>
      <c r="AG9" s="390"/>
      <c r="AH9" s="247">
        <v>3.89</v>
      </c>
      <c r="AK9" s="371" t="s">
        <v>54</v>
      </c>
      <c r="AL9" s="372"/>
      <c r="AM9" s="372"/>
      <c r="AN9" s="373"/>
      <c r="AO9" s="405" t="s">
        <v>55</v>
      </c>
      <c r="AP9" s="370"/>
      <c r="AR9" s="371" t="s">
        <v>56</v>
      </c>
      <c r="AS9" s="372"/>
      <c r="AT9" s="372"/>
      <c r="AU9" s="372"/>
      <c r="AV9" s="373"/>
      <c r="AW9" s="360" t="s">
        <v>57</v>
      </c>
      <c r="AX9" s="361"/>
      <c r="AZ9" s="374" t="s">
        <v>58</v>
      </c>
      <c r="BA9" s="375"/>
      <c r="BB9" s="375"/>
      <c r="BC9" s="376"/>
      <c r="BD9" s="362">
        <v>1</v>
      </c>
      <c r="BE9" s="363"/>
      <c r="BF9" s="239"/>
      <c r="BG9" s="371" t="s">
        <v>59</v>
      </c>
      <c r="BH9" s="372"/>
      <c r="BI9" s="372"/>
      <c r="BJ9" s="373"/>
      <c r="BK9" s="360" t="s">
        <v>60</v>
      </c>
      <c r="BL9" s="361"/>
      <c r="BM9" s="230"/>
      <c r="BN9" s="371" t="s">
        <v>59</v>
      </c>
      <c r="BO9" s="372"/>
      <c r="BP9" s="372"/>
      <c r="BQ9" s="373"/>
      <c r="BR9" s="360" t="s">
        <v>61</v>
      </c>
      <c r="BS9" s="361"/>
    </row>
    <row r="10" spans="2:71" ht="22.5" customHeight="1" x14ac:dyDescent="0.25">
      <c r="B10" s="388" t="s">
        <v>62</v>
      </c>
      <c r="C10" s="389"/>
      <c r="D10" s="390"/>
      <c r="E10" s="393" t="str">
        <f>VLOOKUP($E$11,Plan1!$G$4:$U$21,15)</f>
        <v>Jubarte</v>
      </c>
      <c r="F10" s="394"/>
      <c r="G10" s="395"/>
      <c r="I10" s="357" t="s">
        <v>63</v>
      </c>
      <c r="J10" s="357"/>
      <c r="K10" s="357"/>
      <c r="L10" s="357" t="s">
        <v>64</v>
      </c>
      <c r="M10" s="381">
        <v>45311.333333333336</v>
      </c>
      <c r="N10" s="381"/>
      <c r="O10" s="381"/>
      <c r="P10" s="381"/>
      <c r="R10" s="357" t="s">
        <v>65</v>
      </c>
      <c r="S10" s="357"/>
      <c r="T10" s="357"/>
      <c r="U10" s="357"/>
      <c r="V10" s="357"/>
      <c r="W10" s="357"/>
      <c r="X10" s="357"/>
      <c r="Y10" s="384">
        <v>45275</v>
      </c>
      <c r="Z10" s="383"/>
      <c r="AA10" s="357" t="s">
        <v>66</v>
      </c>
      <c r="AB10" s="357"/>
      <c r="AC10" s="357"/>
      <c r="AD10" s="245" t="s">
        <v>9</v>
      </c>
      <c r="AE10" s="388" t="s">
        <v>67</v>
      </c>
      <c r="AF10" s="389"/>
      <c r="AG10" s="390"/>
      <c r="AH10" s="245">
        <v>0.57999999999999996</v>
      </c>
      <c r="AK10" s="371" t="s">
        <v>68</v>
      </c>
      <c r="AL10" s="372"/>
      <c r="AM10" s="372"/>
      <c r="AN10" s="373"/>
      <c r="AO10" s="406">
        <v>1756001027106</v>
      </c>
      <c r="AP10" s="407"/>
      <c r="AR10" s="371" t="s">
        <v>69</v>
      </c>
      <c r="AS10" s="372"/>
      <c r="AT10" s="372"/>
      <c r="AU10" s="372"/>
      <c r="AV10" s="373"/>
      <c r="AW10" s="360" t="s">
        <v>70</v>
      </c>
      <c r="AX10" s="361"/>
      <c r="AZ10" s="371" t="s">
        <v>71</v>
      </c>
      <c r="BA10" s="372"/>
      <c r="BB10" s="372"/>
      <c r="BC10" s="373"/>
      <c r="BD10" s="362" t="s">
        <v>72</v>
      </c>
      <c r="BE10" s="363"/>
      <c r="BG10" s="374" t="s">
        <v>73</v>
      </c>
      <c r="BH10" s="375"/>
      <c r="BI10" s="375"/>
      <c r="BJ10" s="376"/>
      <c r="BK10" s="360" t="s">
        <v>74</v>
      </c>
      <c r="BL10" s="361"/>
      <c r="BN10" s="374" t="s">
        <v>73</v>
      </c>
      <c r="BO10" s="375"/>
      <c r="BP10" s="375"/>
      <c r="BQ10" s="376"/>
      <c r="BR10" s="360" t="s">
        <v>75</v>
      </c>
      <c r="BS10" s="361"/>
    </row>
    <row r="11" spans="2:71" ht="22.5" customHeight="1" x14ac:dyDescent="0.25">
      <c r="B11" s="388" t="s">
        <v>76</v>
      </c>
      <c r="C11" s="389"/>
      <c r="D11" s="390"/>
      <c r="E11" s="402" t="s">
        <v>77</v>
      </c>
      <c r="F11" s="403"/>
      <c r="G11" s="404"/>
      <c r="I11" s="308" t="s">
        <v>78</v>
      </c>
      <c r="J11" s="308"/>
      <c r="K11" s="308"/>
      <c r="L11" s="308"/>
      <c r="M11" s="308"/>
      <c r="N11" s="308"/>
      <c r="O11" s="308"/>
      <c r="P11" s="308"/>
      <c r="Y11" s="23"/>
      <c r="Z11" s="23"/>
      <c r="AR11" s="371" t="s">
        <v>79</v>
      </c>
      <c r="AS11" s="372"/>
      <c r="AT11" s="372"/>
      <c r="AU11" s="372"/>
      <c r="AV11" s="373"/>
      <c r="AW11" s="362" t="str">
        <f>VLOOKUP($E$11,Plan1!$G$4:$AJ$21,17)</f>
        <v>FC07</v>
      </c>
      <c r="AX11" s="363"/>
      <c r="AZ11" s="371" t="s">
        <v>80</v>
      </c>
      <c r="BA11" s="372"/>
      <c r="BB11" s="372"/>
      <c r="BC11" s="373"/>
      <c r="BD11" s="362">
        <v>2042011</v>
      </c>
      <c r="BE11" s="363"/>
      <c r="BG11" s="371" t="s">
        <v>81</v>
      </c>
      <c r="BH11" s="372"/>
      <c r="BI11" s="372"/>
      <c r="BJ11" s="373"/>
      <c r="BK11" s="360" t="s">
        <v>82</v>
      </c>
      <c r="BL11" s="361"/>
      <c r="BN11" s="371" t="s">
        <v>81</v>
      </c>
      <c r="BO11" s="372"/>
      <c r="BP11" s="372"/>
      <c r="BQ11" s="373"/>
      <c r="BR11" s="362" t="s">
        <v>48</v>
      </c>
      <c r="BS11" s="363"/>
    </row>
    <row r="12" spans="2:71" ht="22.5" customHeight="1" x14ac:dyDescent="0.25">
      <c r="B12" s="388" t="s">
        <v>83</v>
      </c>
      <c r="C12" s="389"/>
      <c r="D12" s="390"/>
      <c r="E12" s="402" t="s">
        <v>84</v>
      </c>
      <c r="F12" s="403"/>
      <c r="G12" s="404"/>
      <c r="I12" s="356" t="s">
        <v>85</v>
      </c>
      <c r="J12" s="356"/>
      <c r="K12" s="356"/>
      <c r="L12" s="356"/>
      <c r="M12" s="392" t="s">
        <v>86</v>
      </c>
      <c r="N12" s="392"/>
      <c r="O12" s="392"/>
      <c r="P12" s="392"/>
      <c r="R12" s="330" t="s">
        <v>87</v>
      </c>
      <c r="S12" s="331"/>
      <c r="T12" s="331"/>
      <c r="U12" s="331"/>
      <c r="V12" s="331"/>
      <c r="W12" s="331"/>
      <c r="X12" s="331"/>
      <c r="Y12" s="331"/>
      <c r="Z12" s="331"/>
      <c r="AA12" s="332"/>
      <c r="AK12" s="377" t="s">
        <v>88</v>
      </c>
      <c r="AL12" s="378"/>
      <c r="AM12" s="378"/>
      <c r="AN12" s="378"/>
      <c r="AO12" s="378"/>
      <c r="AP12" s="379"/>
      <c r="AQ12" s="55"/>
      <c r="AR12" s="371" t="s">
        <v>89</v>
      </c>
      <c r="AS12" s="372"/>
      <c r="AT12" s="372"/>
      <c r="AU12" s="372"/>
      <c r="AV12" s="373"/>
      <c r="AW12" s="362" t="str">
        <f>VLOOKUP($E$11,Plan1!$G$4:$AJ$21,18)</f>
        <v>01982-201A</v>
      </c>
      <c r="AX12" s="363"/>
      <c r="AZ12" s="371" t="s">
        <v>90</v>
      </c>
      <c r="BA12" s="372"/>
      <c r="BB12" s="372"/>
      <c r="BC12" s="373"/>
      <c r="BD12" s="362" t="s">
        <v>91</v>
      </c>
      <c r="BE12" s="363"/>
      <c r="BG12" s="371" t="s">
        <v>92</v>
      </c>
      <c r="BH12" s="372"/>
      <c r="BI12" s="372"/>
      <c r="BJ12" s="373"/>
      <c r="BK12" s="360" t="s">
        <v>1101</v>
      </c>
      <c r="BL12" s="361"/>
      <c r="BN12" s="371" t="s">
        <v>92</v>
      </c>
      <c r="BO12" s="372"/>
      <c r="BP12" s="372"/>
      <c r="BQ12" s="373"/>
      <c r="BR12" s="362">
        <v>279368</v>
      </c>
      <c r="BS12" s="363"/>
    </row>
    <row r="13" spans="2:71" ht="22.5" customHeight="1" x14ac:dyDescent="0.25">
      <c r="B13" s="388" t="s">
        <v>93</v>
      </c>
      <c r="C13" s="389"/>
      <c r="D13" s="390"/>
      <c r="E13" s="354">
        <f>VLOOKUP($E$11,Plan1!$G$4:$U$21,3)</f>
        <v>393254</v>
      </c>
      <c r="F13" s="355"/>
      <c r="G13" s="92" t="s">
        <v>94</v>
      </c>
      <c r="I13" s="356" t="s">
        <v>95</v>
      </c>
      <c r="J13" s="356"/>
      <c r="K13" s="356"/>
      <c r="L13" s="356"/>
      <c r="M13" s="392" t="s">
        <v>96</v>
      </c>
      <c r="N13" s="392"/>
      <c r="O13" s="392"/>
      <c r="P13" s="392"/>
      <c r="R13" s="357" t="s">
        <v>97</v>
      </c>
      <c r="S13" s="357"/>
      <c r="T13" s="391" t="s">
        <v>98</v>
      </c>
      <c r="U13" s="391"/>
      <c r="V13" s="35" t="s">
        <v>99</v>
      </c>
      <c r="W13" s="357" t="s">
        <v>100</v>
      </c>
      <c r="X13" s="357"/>
      <c r="Y13" s="391">
        <v>2014</v>
      </c>
      <c r="Z13" s="391"/>
      <c r="AA13" s="35" t="s">
        <v>101</v>
      </c>
      <c r="AK13" s="371" t="s">
        <v>102</v>
      </c>
      <c r="AL13" s="372"/>
      <c r="AM13" s="372"/>
      <c r="AN13" s="373"/>
      <c r="AO13" s="415" t="s">
        <v>103</v>
      </c>
      <c r="AP13" s="416"/>
      <c r="AR13" s="371" t="s">
        <v>104</v>
      </c>
      <c r="AS13" s="372"/>
      <c r="AT13" s="372"/>
      <c r="AU13" s="372"/>
      <c r="AV13" s="373"/>
      <c r="AW13" s="360" t="s">
        <v>105</v>
      </c>
      <c r="AX13" s="361"/>
      <c r="AZ13" s="371" t="s">
        <v>106</v>
      </c>
      <c r="BA13" s="372"/>
      <c r="BB13" s="372"/>
      <c r="BC13" s="373"/>
      <c r="BD13" s="362">
        <v>635304</v>
      </c>
      <c r="BE13" s="363"/>
      <c r="BG13" s="371" t="s">
        <v>107</v>
      </c>
      <c r="BH13" s="372"/>
      <c r="BI13" s="372"/>
      <c r="BJ13" s="373"/>
      <c r="BK13" s="360" t="s">
        <v>108</v>
      </c>
      <c r="BL13" s="361"/>
      <c r="BN13" s="371" t="s">
        <v>107</v>
      </c>
      <c r="BO13" s="372"/>
      <c r="BP13" s="372"/>
      <c r="BQ13" s="373"/>
      <c r="BR13" s="362" t="s">
        <v>105</v>
      </c>
      <c r="BS13" s="363"/>
    </row>
    <row r="14" spans="2:71" ht="22.5" customHeight="1" x14ac:dyDescent="0.25">
      <c r="B14" s="388" t="s">
        <v>109</v>
      </c>
      <c r="C14" s="389"/>
      <c r="D14" s="390"/>
      <c r="E14" s="354">
        <f>VLOOKUP($E$11,Plan1!$G$4:$U$21,4)</f>
        <v>7650977</v>
      </c>
      <c r="F14" s="355"/>
      <c r="G14" s="92" t="s">
        <v>94</v>
      </c>
      <c r="R14" s="357" t="s">
        <v>110</v>
      </c>
      <c r="S14" s="357"/>
      <c r="T14" s="391">
        <v>1500</v>
      </c>
      <c r="U14" s="391"/>
      <c r="V14" s="36" t="s">
        <v>111</v>
      </c>
      <c r="W14" s="357" t="s">
        <v>112</v>
      </c>
      <c r="X14" s="357"/>
      <c r="Y14" s="391">
        <v>5564</v>
      </c>
      <c r="Z14" s="391"/>
      <c r="AA14" s="35" t="s">
        <v>101</v>
      </c>
      <c r="AK14" s="371" t="s">
        <v>113</v>
      </c>
      <c r="AL14" s="372"/>
      <c r="AM14" s="372"/>
      <c r="AN14" s="373"/>
      <c r="AO14" s="415" t="s">
        <v>103</v>
      </c>
      <c r="AP14" s="416"/>
      <c r="AR14" s="371" t="s">
        <v>114</v>
      </c>
      <c r="AS14" s="372"/>
      <c r="AT14" s="372"/>
      <c r="AU14" s="372"/>
      <c r="AV14" s="373"/>
      <c r="AW14" s="360" t="s">
        <v>105</v>
      </c>
      <c r="AX14" s="361"/>
      <c r="AZ14" s="371" t="s">
        <v>115</v>
      </c>
      <c r="BA14" s="372"/>
      <c r="BB14" s="372"/>
      <c r="BC14" s="373"/>
      <c r="BD14" s="360" t="s">
        <v>116</v>
      </c>
      <c r="BE14" s="361"/>
      <c r="BG14" s="371" t="s">
        <v>117</v>
      </c>
      <c r="BH14" s="372"/>
      <c r="BI14" s="372"/>
      <c r="BJ14" s="373"/>
      <c r="BK14" s="360">
        <v>1891390</v>
      </c>
      <c r="BL14" s="361"/>
      <c r="BN14" s="371" t="s">
        <v>117</v>
      </c>
      <c r="BO14" s="372"/>
      <c r="BP14" s="372"/>
      <c r="BQ14" s="373"/>
      <c r="BR14" s="362" t="s">
        <v>105</v>
      </c>
      <c r="BS14" s="363"/>
    </row>
    <row r="15" spans="2:71" ht="22.5" customHeight="1" x14ac:dyDescent="0.25">
      <c r="B15" s="388" t="s">
        <v>118</v>
      </c>
      <c r="C15" s="389"/>
      <c r="D15" s="390"/>
      <c r="E15" s="354">
        <f>VLOOKUP($E$11,Plan1!$G$4:$U$21,2)</f>
        <v>1314</v>
      </c>
      <c r="F15" s="355"/>
      <c r="G15" s="92" t="s">
        <v>119</v>
      </c>
      <c r="I15" s="308" t="s">
        <v>120</v>
      </c>
      <c r="J15" s="308"/>
      <c r="K15" s="308"/>
      <c r="L15" s="308"/>
      <c r="M15" s="308"/>
      <c r="N15" s="308"/>
      <c r="O15" s="308"/>
      <c r="P15" s="308"/>
      <c r="R15" s="357" t="s">
        <v>121</v>
      </c>
      <c r="S15" s="357"/>
      <c r="T15" s="391">
        <v>4556</v>
      </c>
      <c r="U15" s="391"/>
      <c r="V15" s="36" t="s">
        <v>122</v>
      </c>
      <c r="W15" s="357" t="s">
        <v>123</v>
      </c>
      <c r="X15" s="357"/>
      <c r="Y15" s="391" t="s">
        <v>9</v>
      </c>
      <c r="Z15" s="391"/>
      <c r="AA15" s="35" t="s">
        <v>99</v>
      </c>
      <c r="AZ15" s="371" t="s">
        <v>124</v>
      </c>
      <c r="BA15" s="372"/>
      <c r="BB15" s="372"/>
      <c r="BC15" s="373"/>
      <c r="BD15" s="360" t="s">
        <v>125</v>
      </c>
      <c r="BE15" s="361"/>
      <c r="BG15" s="371" t="s">
        <v>71</v>
      </c>
      <c r="BH15" s="372"/>
      <c r="BI15" s="372"/>
      <c r="BJ15" s="373"/>
      <c r="BK15" s="360" t="s">
        <v>126</v>
      </c>
      <c r="BL15" s="361"/>
      <c r="BN15" s="371" t="s">
        <v>71</v>
      </c>
      <c r="BO15" s="372"/>
      <c r="BP15" s="372"/>
      <c r="BQ15" s="373"/>
      <c r="BR15" s="362" t="s">
        <v>127</v>
      </c>
      <c r="BS15" s="363"/>
    </row>
    <row r="16" spans="2:71" ht="22.5" customHeight="1" x14ac:dyDescent="0.25">
      <c r="B16" s="10"/>
      <c r="C16" s="10"/>
      <c r="D16" s="10"/>
      <c r="E16" s="31"/>
      <c r="F16" s="31"/>
      <c r="G16" s="31"/>
      <c r="I16" s="364" t="s">
        <v>128</v>
      </c>
      <c r="J16" s="365"/>
      <c r="K16" s="93" t="s">
        <v>9</v>
      </c>
      <c r="L16" s="92" t="s">
        <v>101</v>
      </c>
      <c r="M16" s="364" t="s">
        <v>129</v>
      </c>
      <c r="N16" s="365"/>
      <c r="O16" s="93" t="s">
        <v>9</v>
      </c>
      <c r="P16" s="92" t="s">
        <v>130</v>
      </c>
      <c r="R16" s="357" t="s">
        <v>131</v>
      </c>
      <c r="S16" s="357"/>
      <c r="T16" s="391">
        <v>200</v>
      </c>
      <c r="U16" s="391"/>
      <c r="V16" s="36" t="s">
        <v>132</v>
      </c>
      <c r="W16" s="357" t="s">
        <v>133</v>
      </c>
      <c r="X16" s="357"/>
      <c r="Y16" s="408">
        <v>42212</v>
      </c>
      <c r="Z16" s="391"/>
      <c r="AA16" s="37" t="s">
        <v>105</v>
      </c>
      <c r="AQ16" s="55"/>
      <c r="AR16" s="377" t="s">
        <v>134</v>
      </c>
      <c r="AS16" s="378"/>
      <c r="AT16" s="378"/>
      <c r="AU16" s="378"/>
      <c r="AV16" s="378"/>
      <c r="AW16" s="378"/>
      <c r="AX16" s="379"/>
      <c r="AZ16" s="20"/>
      <c r="BG16" s="371" t="s">
        <v>80</v>
      </c>
      <c r="BH16" s="372"/>
      <c r="BI16" s="372"/>
      <c r="BJ16" s="373"/>
      <c r="BK16" s="360" t="s">
        <v>1101</v>
      </c>
      <c r="BL16" s="361"/>
      <c r="BN16" s="371" t="s">
        <v>80</v>
      </c>
      <c r="BO16" s="372"/>
      <c r="BP16" s="372"/>
      <c r="BQ16" s="373"/>
      <c r="BR16" s="362">
        <v>279368</v>
      </c>
      <c r="BS16" s="363"/>
    </row>
    <row r="17" spans="2:71" ht="22.5" customHeight="1" x14ac:dyDescent="0.25">
      <c r="B17" s="10"/>
      <c r="C17" s="10"/>
      <c r="D17" s="10"/>
      <c r="E17" s="31"/>
      <c r="F17" s="31"/>
      <c r="G17" s="31"/>
      <c r="Q17" s="33"/>
      <c r="R17" s="33"/>
      <c r="S17" s="33"/>
      <c r="T17" s="10"/>
      <c r="U17" s="10"/>
      <c r="AR17" s="371" t="s">
        <v>135</v>
      </c>
      <c r="AS17" s="372"/>
      <c r="AT17" s="372"/>
      <c r="AU17" s="372"/>
      <c r="AV17" s="373"/>
      <c r="AW17" s="360" t="s">
        <v>105</v>
      </c>
      <c r="AX17" s="370"/>
      <c r="AZ17" s="377" t="s">
        <v>136</v>
      </c>
      <c r="BA17" s="378"/>
      <c r="BB17" s="378"/>
      <c r="BC17" s="378"/>
      <c r="BD17" s="378"/>
      <c r="BE17" s="379"/>
      <c r="BG17" s="371" t="s">
        <v>90</v>
      </c>
      <c r="BH17" s="372"/>
      <c r="BI17" s="372"/>
      <c r="BJ17" s="373"/>
      <c r="BK17" s="360" t="s">
        <v>137</v>
      </c>
      <c r="BL17" s="361"/>
      <c r="BN17" s="371" t="s">
        <v>90</v>
      </c>
      <c r="BO17" s="372"/>
      <c r="BP17" s="372"/>
      <c r="BQ17" s="373"/>
      <c r="BR17" s="362" t="s">
        <v>138</v>
      </c>
      <c r="BS17" s="363"/>
    </row>
    <row r="18" spans="2:71" ht="22.5" customHeight="1" x14ac:dyDescent="0.25">
      <c r="B18" s="10"/>
      <c r="C18" s="10"/>
      <c r="D18" s="10"/>
      <c r="E18" s="31"/>
      <c r="F18" s="31"/>
      <c r="G18" s="31"/>
      <c r="I18" s="308" t="s">
        <v>139</v>
      </c>
      <c r="J18" s="308"/>
      <c r="K18" s="308"/>
      <c r="L18" s="308"/>
      <c r="M18" s="308"/>
      <c r="N18" s="308"/>
      <c r="O18" s="308"/>
      <c r="P18" s="308"/>
      <c r="T18" s="10"/>
      <c r="AN18" s="27"/>
      <c r="AZ18" s="371" t="s">
        <v>31</v>
      </c>
      <c r="BA18" s="372"/>
      <c r="BB18" s="372"/>
      <c r="BC18" s="373"/>
      <c r="BD18" s="360" t="s">
        <v>140</v>
      </c>
      <c r="BE18" s="370"/>
      <c r="BG18" s="371" t="s">
        <v>106</v>
      </c>
      <c r="BH18" s="372"/>
      <c r="BI18" s="372"/>
      <c r="BJ18" s="373"/>
      <c r="BK18" s="360" t="s">
        <v>1101</v>
      </c>
      <c r="BL18" s="361"/>
      <c r="BN18" s="371" t="s">
        <v>106</v>
      </c>
      <c r="BO18" s="372"/>
      <c r="BP18" s="372"/>
      <c r="BQ18" s="373"/>
      <c r="BR18" s="362">
        <v>279368</v>
      </c>
      <c r="BS18" s="363"/>
    </row>
    <row r="19" spans="2:71" ht="22.5" customHeight="1" x14ac:dyDescent="0.25">
      <c r="B19" s="10"/>
      <c r="C19" s="10"/>
      <c r="D19" s="10"/>
      <c r="E19" s="31"/>
      <c r="F19" s="31"/>
      <c r="G19" s="31"/>
      <c r="I19" s="356" t="s">
        <v>141</v>
      </c>
      <c r="J19" s="356"/>
      <c r="K19" s="356"/>
      <c r="L19" s="356"/>
      <c r="M19" s="356"/>
      <c r="N19" s="418">
        <v>25</v>
      </c>
      <c r="O19" s="419"/>
      <c r="P19" s="92" t="s">
        <v>142</v>
      </c>
      <c r="Q19" s="34"/>
      <c r="R19" s="34"/>
      <c r="S19" s="34"/>
      <c r="T19" s="10"/>
      <c r="AN19" s="27"/>
      <c r="AZ19" s="371" t="s">
        <v>45</v>
      </c>
      <c r="BA19" s="372"/>
      <c r="BB19" s="372"/>
      <c r="BC19" s="373"/>
      <c r="BD19" s="360" t="s">
        <v>105</v>
      </c>
      <c r="BE19" s="370"/>
      <c r="BG19" s="371" t="s">
        <v>115</v>
      </c>
      <c r="BH19" s="372"/>
      <c r="BI19" s="372"/>
      <c r="BJ19" s="373"/>
      <c r="BK19" s="360" t="s">
        <v>143</v>
      </c>
      <c r="BL19" s="361"/>
      <c r="BN19" s="371" t="s">
        <v>115</v>
      </c>
      <c r="BO19" s="372"/>
      <c r="BP19" s="372"/>
      <c r="BQ19" s="373"/>
      <c r="BR19" s="362" t="s">
        <v>144</v>
      </c>
      <c r="BS19" s="363"/>
    </row>
    <row r="20" spans="2:71" ht="22.5" customHeight="1" x14ac:dyDescent="0.25">
      <c r="B20" s="10"/>
      <c r="C20" s="10"/>
      <c r="D20" s="10"/>
      <c r="E20" s="12"/>
      <c r="F20" s="12"/>
      <c r="G20" s="12"/>
      <c r="I20" s="356" t="s">
        <v>145</v>
      </c>
      <c r="J20" s="356"/>
      <c r="K20" s="356"/>
      <c r="L20" s="356"/>
      <c r="M20" s="356"/>
      <c r="N20" s="420" t="s">
        <v>9</v>
      </c>
      <c r="O20" s="421"/>
      <c r="P20" s="92" t="s">
        <v>142</v>
      </c>
      <c r="Q20" s="32"/>
      <c r="R20" s="32"/>
      <c r="S20" s="32"/>
      <c r="T20" s="32"/>
      <c r="AZ20" s="374" t="s">
        <v>58</v>
      </c>
      <c r="BA20" s="375"/>
      <c r="BB20" s="375"/>
      <c r="BC20" s="376"/>
      <c r="BD20" s="360" t="s">
        <v>105</v>
      </c>
      <c r="BE20" s="370"/>
      <c r="BG20" s="371" t="s">
        <v>124</v>
      </c>
      <c r="BH20" s="372"/>
      <c r="BI20" s="372"/>
      <c r="BJ20" s="373"/>
      <c r="BK20" s="360" t="s">
        <v>146</v>
      </c>
      <c r="BL20" s="361"/>
      <c r="BN20" s="371" t="s">
        <v>124</v>
      </c>
      <c r="BO20" s="372"/>
      <c r="BP20" s="372"/>
      <c r="BQ20" s="373"/>
      <c r="BR20" s="362" t="s">
        <v>147</v>
      </c>
      <c r="BS20" s="363"/>
    </row>
    <row r="21" spans="2:71" ht="22.5" customHeight="1" x14ac:dyDescent="0.25">
      <c r="B21" s="10"/>
      <c r="C21" s="10"/>
      <c r="D21" s="10"/>
      <c r="E21" s="12"/>
      <c r="F21" s="12"/>
      <c r="G21" s="12"/>
      <c r="I21" s="356" t="s">
        <v>148</v>
      </c>
      <c r="J21" s="356"/>
      <c r="K21" s="356"/>
      <c r="L21" s="356"/>
      <c r="M21" s="356"/>
      <c r="N21" s="366" t="s">
        <v>9</v>
      </c>
      <c r="O21" s="366"/>
      <c r="P21" s="92" t="s">
        <v>142</v>
      </c>
      <c r="T21" s="10"/>
      <c r="X21" s="10" t="s">
        <v>149</v>
      </c>
      <c r="Y21" s="240" t="s">
        <v>150</v>
      </c>
      <c r="Z21" s="32"/>
      <c r="AA21" s="224"/>
      <c r="BG21" s="371" t="s">
        <v>58</v>
      </c>
      <c r="BH21" s="372"/>
      <c r="BI21" s="372"/>
      <c r="BJ21" s="373"/>
      <c r="BK21" s="360" t="s">
        <v>105</v>
      </c>
      <c r="BL21" s="361"/>
      <c r="BN21" s="371" t="s">
        <v>58</v>
      </c>
      <c r="BO21" s="372"/>
      <c r="BP21" s="372"/>
      <c r="BQ21" s="373"/>
      <c r="BR21" s="362" t="s">
        <v>105</v>
      </c>
      <c r="BS21" s="363"/>
    </row>
    <row r="22" spans="2:71" ht="22.5" customHeight="1" x14ac:dyDescent="0.25">
      <c r="B22" s="10"/>
      <c r="C22" s="10"/>
      <c r="D22" s="10"/>
      <c r="E22" s="12"/>
      <c r="F22" s="12"/>
      <c r="G22" s="12"/>
      <c r="T22" s="10" t="s">
        <v>151</v>
      </c>
      <c r="U22" s="241" t="s">
        <v>152</v>
      </c>
      <c r="V22" s="241" t="s">
        <v>153</v>
      </c>
      <c r="X22" s="238"/>
      <c r="Y22" s="221" t="s">
        <v>152</v>
      </c>
      <c r="Z22" s="221" t="s">
        <v>153</v>
      </c>
      <c r="BG22" s="371" t="s">
        <v>154</v>
      </c>
      <c r="BH22" s="372"/>
      <c r="BI22" s="372"/>
      <c r="BJ22" s="373"/>
      <c r="BK22" s="360" t="s">
        <v>155</v>
      </c>
      <c r="BL22" s="361"/>
      <c r="BN22" s="371" t="s">
        <v>154</v>
      </c>
      <c r="BO22" s="372"/>
      <c r="BP22" s="372"/>
      <c r="BQ22" s="373"/>
      <c r="BR22" s="362" t="s">
        <v>156</v>
      </c>
      <c r="BS22" s="363"/>
    </row>
    <row r="23" spans="2:71" ht="22.5" customHeight="1" x14ac:dyDescent="0.25">
      <c r="B23" s="10"/>
      <c r="C23" s="10"/>
      <c r="D23" s="12"/>
      <c r="E23" s="12"/>
      <c r="F23" s="12"/>
      <c r="O23" s="10"/>
      <c r="P23" s="10"/>
      <c r="Q23" s="10"/>
      <c r="R23" s="10"/>
      <c r="S23" s="10"/>
      <c r="T23" s="221">
        <v>800864</v>
      </c>
      <c r="U23" s="221">
        <v>30</v>
      </c>
      <c r="V23" s="221">
        <v>59.7</v>
      </c>
      <c r="X23" s="222"/>
      <c r="Y23" s="223">
        <v>850</v>
      </c>
      <c r="Z23" s="223">
        <v>5000</v>
      </c>
    </row>
    <row r="24" spans="2:71" s="1" customFormat="1" ht="22.5" customHeight="1" x14ac:dyDescent="0.25">
      <c r="B24" s="321" t="s">
        <v>157</v>
      </c>
      <c r="C24" s="321"/>
      <c r="D24" s="308" t="s">
        <v>158</v>
      </c>
      <c r="E24" s="308"/>
      <c r="F24" s="308" t="s">
        <v>159</v>
      </c>
      <c r="G24" s="308"/>
      <c r="H24" s="308"/>
      <c r="I24" s="308" t="s">
        <v>160</v>
      </c>
      <c r="J24" s="308"/>
      <c r="K24" s="308"/>
      <c r="L24" s="308"/>
      <c r="M24" s="308"/>
      <c r="N24" s="308" t="s">
        <v>161</v>
      </c>
      <c r="O24" s="308"/>
      <c r="P24" s="308"/>
      <c r="Q24" s="308"/>
      <c r="R24" s="308"/>
      <c r="S24" s="308"/>
      <c r="T24" s="308"/>
      <c r="U24" s="308"/>
      <c r="V24" s="308"/>
      <c r="W24" s="308"/>
      <c r="X24" s="308"/>
      <c r="Y24" s="308"/>
      <c r="Z24" s="308"/>
      <c r="AA24" s="308"/>
      <c r="AB24" s="308"/>
      <c r="AC24" s="308"/>
      <c r="AD24" s="308"/>
      <c r="AE24" s="308"/>
      <c r="AF24" s="308"/>
      <c r="AG24" s="308"/>
      <c r="AH24" s="330" t="s">
        <v>162</v>
      </c>
      <c r="AI24" s="331"/>
      <c r="AJ24" s="331"/>
      <c r="AK24" s="331"/>
      <c r="AL24" s="332"/>
      <c r="AM24" s="330" t="s">
        <v>163</v>
      </c>
      <c r="AN24" s="331"/>
      <c r="AO24" s="331"/>
      <c r="AP24" s="331"/>
      <c r="AQ24" s="331"/>
      <c r="AR24" s="331"/>
      <c r="AS24" s="331"/>
      <c r="AT24" s="331"/>
      <c r="AU24" s="332"/>
      <c r="AV24" s="330" t="s">
        <v>164</v>
      </c>
      <c r="AW24" s="331"/>
      <c r="AX24" s="331"/>
      <c r="AY24" s="331"/>
      <c r="AZ24" s="331"/>
      <c r="BA24" s="331"/>
      <c r="BB24" s="331"/>
      <c r="BC24" s="331"/>
      <c r="BD24" s="331"/>
      <c r="BE24" s="331"/>
      <c r="BF24" s="331"/>
      <c r="BG24" s="331"/>
      <c r="BH24" s="331"/>
      <c r="BI24" s="331"/>
      <c r="BJ24" s="331"/>
      <c r="BK24" s="331"/>
      <c r="BL24" s="331"/>
      <c r="BM24" s="331"/>
      <c r="BN24" s="331"/>
      <c r="BO24" s="331"/>
      <c r="BP24" s="331"/>
      <c r="BQ24" s="331"/>
      <c r="BR24" s="331"/>
      <c r="BS24" s="332"/>
    </row>
    <row r="25" spans="2:71" s="2" customFormat="1" ht="22.5" customHeight="1" x14ac:dyDescent="0.25">
      <c r="B25" s="321"/>
      <c r="C25" s="321"/>
      <c r="D25" s="323" t="s">
        <v>165</v>
      </c>
      <c r="E25" s="323"/>
      <c r="F25" s="323" t="s">
        <v>166</v>
      </c>
      <c r="G25" s="323"/>
      <c r="H25" s="323"/>
      <c r="I25" s="320" t="s">
        <v>167</v>
      </c>
      <c r="J25" s="320"/>
      <c r="K25" s="320"/>
      <c r="L25" s="320"/>
      <c r="M25" s="320"/>
      <c r="N25" s="320" t="s">
        <v>167</v>
      </c>
      <c r="O25" s="320"/>
      <c r="P25" s="320"/>
      <c r="Q25" s="320"/>
      <c r="R25" s="320"/>
      <c r="S25" s="328" t="s">
        <v>168</v>
      </c>
      <c r="T25" s="329"/>
      <c r="U25" s="329"/>
      <c r="V25" s="329"/>
      <c r="W25" s="329"/>
      <c r="X25" s="329"/>
      <c r="Y25" s="329"/>
      <c r="Z25" s="329"/>
      <c r="AA25" s="259" t="s">
        <v>169</v>
      </c>
      <c r="AB25" s="260"/>
      <c r="AC25" s="260"/>
      <c r="AD25" s="260"/>
      <c r="AE25" s="260"/>
      <c r="AF25" s="260"/>
      <c r="AG25" s="260"/>
      <c r="AH25" s="259" t="s">
        <v>169</v>
      </c>
      <c r="AI25" s="260"/>
      <c r="AJ25" s="260"/>
      <c r="AK25" s="260"/>
      <c r="AL25" s="260"/>
      <c r="AM25" s="275" t="s">
        <v>170</v>
      </c>
      <c r="AN25" s="276"/>
      <c r="AO25" s="275" t="s">
        <v>171</v>
      </c>
      <c r="AP25" s="276"/>
      <c r="AQ25" s="279" t="s">
        <v>172</v>
      </c>
      <c r="AR25" s="281" t="s">
        <v>173</v>
      </c>
      <c r="AS25" s="282"/>
      <c r="AT25" s="282"/>
      <c r="AU25" s="283"/>
      <c r="AV25" s="261" t="s">
        <v>174</v>
      </c>
      <c r="AW25" s="262"/>
      <c r="AX25" s="262"/>
      <c r="AY25" s="262"/>
      <c r="AZ25" s="262"/>
      <c r="BA25" s="262"/>
      <c r="BB25" s="262"/>
      <c r="BC25" s="262"/>
      <c r="BD25" s="262"/>
      <c r="BE25" s="263"/>
      <c r="BF25" s="261" t="s">
        <v>175</v>
      </c>
      <c r="BG25" s="262"/>
      <c r="BH25" s="262"/>
      <c r="BI25" s="262"/>
      <c r="BJ25" s="262"/>
      <c r="BK25" s="263"/>
      <c r="BL25" s="261" t="s">
        <v>176</v>
      </c>
      <c r="BM25" s="262"/>
      <c r="BN25" s="262"/>
      <c r="BO25" s="263"/>
      <c r="BP25" s="261" t="s">
        <v>177</v>
      </c>
      <c r="BQ25" s="262"/>
      <c r="BR25" s="262"/>
      <c r="BS25" s="263"/>
    </row>
    <row r="26" spans="2:71" s="2" customFormat="1" ht="57" customHeight="1" x14ac:dyDescent="0.25">
      <c r="B26" s="321"/>
      <c r="C26" s="321"/>
      <c r="D26" s="323"/>
      <c r="E26" s="323"/>
      <c r="F26" s="323"/>
      <c r="G26" s="323"/>
      <c r="H26" s="323"/>
      <c r="I26" s="324" t="s">
        <v>178</v>
      </c>
      <c r="J26" s="324"/>
      <c r="K26" s="324" t="s">
        <v>179</v>
      </c>
      <c r="L26" s="324"/>
      <c r="M26" s="86" t="s">
        <v>180</v>
      </c>
      <c r="N26" s="324" t="s">
        <v>178</v>
      </c>
      <c r="O26" s="324"/>
      <c r="P26" s="324" t="s">
        <v>179</v>
      </c>
      <c r="Q26" s="324"/>
      <c r="R26" s="86" t="s">
        <v>180</v>
      </c>
      <c r="S26" s="322" t="s">
        <v>181</v>
      </c>
      <c r="T26" s="322"/>
      <c r="U26" s="325" t="s">
        <v>182</v>
      </c>
      <c r="V26" s="326"/>
      <c r="W26" s="327"/>
      <c r="X26" s="87" t="s">
        <v>183</v>
      </c>
      <c r="Y26" s="325" t="s">
        <v>184</v>
      </c>
      <c r="Z26" s="326"/>
      <c r="AA26" s="358" t="s">
        <v>178</v>
      </c>
      <c r="AB26" s="358"/>
      <c r="AC26" s="88" t="s">
        <v>185</v>
      </c>
      <c r="AD26" s="333" t="s">
        <v>179</v>
      </c>
      <c r="AE26" s="334"/>
      <c r="AF26" s="89" t="s">
        <v>186</v>
      </c>
      <c r="AG26" s="89" t="s">
        <v>187</v>
      </c>
      <c r="AH26" s="333" t="s">
        <v>178</v>
      </c>
      <c r="AI26" s="334"/>
      <c r="AJ26" s="333" t="s">
        <v>179</v>
      </c>
      <c r="AK26" s="334"/>
      <c r="AL26" s="89" t="s">
        <v>187</v>
      </c>
      <c r="AM26" s="277"/>
      <c r="AN26" s="278"/>
      <c r="AO26" s="277"/>
      <c r="AP26" s="278"/>
      <c r="AQ26" s="280"/>
      <c r="AR26" s="284"/>
      <c r="AS26" s="285"/>
      <c r="AT26" s="285"/>
      <c r="AU26" s="286"/>
      <c r="AV26" s="264"/>
      <c r="AW26" s="265"/>
      <c r="AX26" s="265"/>
      <c r="AY26" s="265"/>
      <c r="AZ26" s="265"/>
      <c r="BA26" s="265"/>
      <c r="BB26" s="265"/>
      <c r="BC26" s="265"/>
      <c r="BD26" s="265"/>
      <c r="BE26" s="266"/>
      <c r="BF26" s="264"/>
      <c r="BG26" s="265"/>
      <c r="BH26" s="265"/>
      <c r="BI26" s="265"/>
      <c r="BJ26" s="265"/>
      <c r="BK26" s="266"/>
      <c r="BL26" s="264"/>
      <c r="BM26" s="265"/>
      <c r="BN26" s="265"/>
      <c r="BO26" s="266"/>
      <c r="BP26" s="264"/>
      <c r="BQ26" s="265"/>
      <c r="BR26" s="265"/>
      <c r="BS26" s="266"/>
    </row>
    <row r="27" spans="2:71" s="3" customFormat="1" ht="45" customHeight="1" x14ac:dyDescent="0.25">
      <c r="B27" s="321"/>
      <c r="C27" s="321"/>
      <c r="D27" s="83" t="s">
        <v>188</v>
      </c>
      <c r="E27" s="83" t="s">
        <v>189</v>
      </c>
      <c r="F27" s="83" t="s">
        <v>188</v>
      </c>
      <c r="G27" s="83" t="s">
        <v>189</v>
      </c>
      <c r="H27" s="83" t="s">
        <v>190</v>
      </c>
      <c r="I27" s="83" t="s">
        <v>188</v>
      </c>
      <c r="J27" s="83" t="s">
        <v>189</v>
      </c>
      <c r="K27" s="83" t="s">
        <v>188</v>
      </c>
      <c r="L27" s="83" t="s">
        <v>189</v>
      </c>
      <c r="M27" s="83" t="s">
        <v>191</v>
      </c>
      <c r="N27" s="83" t="s">
        <v>188</v>
      </c>
      <c r="O27" s="83" t="s">
        <v>189</v>
      </c>
      <c r="P27" s="83" t="s">
        <v>188</v>
      </c>
      <c r="Q27" s="83" t="s">
        <v>189</v>
      </c>
      <c r="R27" s="83" t="s">
        <v>191</v>
      </c>
      <c r="S27" s="83" t="s">
        <v>188</v>
      </c>
      <c r="T27" s="83" t="s">
        <v>189</v>
      </c>
      <c r="U27" s="84" t="s">
        <v>192</v>
      </c>
      <c r="V27" s="84" t="s">
        <v>193</v>
      </c>
      <c r="W27" s="83" t="s">
        <v>194</v>
      </c>
      <c r="X27" s="84" t="s">
        <v>193</v>
      </c>
      <c r="Y27" s="84" t="s">
        <v>195</v>
      </c>
      <c r="Z27" s="83" t="s">
        <v>196</v>
      </c>
      <c r="AA27" s="83" t="s">
        <v>188</v>
      </c>
      <c r="AB27" s="83" t="s">
        <v>189</v>
      </c>
      <c r="AC27" s="84" t="s">
        <v>197</v>
      </c>
      <c r="AD27" s="83" t="s">
        <v>188</v>
      </c>
      <c r="AE27" s="83" t="s">
        <v>189</v>
      </c>
      <c r="AF27" s="83" t="s">
        <v>196</v>
      </c>
      <c r="AG27" s="83" t="s">
        <v>191</v>
      </c>
      <c r="AH27" s="83" t="s">
        <v>188</v>
      </c>
      <c r="AI27" s="83" t="s">
        <v>189</v>
      </c>
      <c r="AJ27" s="83" t="s">
        <v>188</v>
      </c>
      <c r="AK27" s="83" t="s">
        <v>189</v>
      </c>
      <c r="AL27" s="83" t="s">
        <v>191</v>
      </c>
      <c r="AM27" s="83" t="s">
        <v>188</v>
      </c>
      <c r="AN27" s="83" t="s">
        <v>189</v>
      </c>
      <c r="AO27" s="83" t="s">
        <v>188</v>
      </c>
      <c r="AP27" s="83" t="s">
        <v>189</v>
      </c>
      <c r="AQ27" s="83" t="s">
        <v>189</v>
      </c>
      <c r="AR27" s="83" t="s">
        <v>198</v>
      </c>
      <c r="AS27" s="83" t="s">
        <v>199</v>
      </c>
      <c r="AT27" s="83" t="s">
        <v>200</v>
      </c>
      <c r="AU27" s="83" t="s">
        <v>201</v>
      </c>
      <c r="AV27" s="84" t="s">
        <v>202</v>
      </c>
      <c r="AW27" s="84" t="s">
        <v>203</v>
      </c>
      <c r="AX27" s="84" t="s">
        <v>204</v>
      </c>
      <c r="AY27" s="84" t="s">
        <v>205</v>
      </c>
      <c r="AZ27" s="83" t="s">
        <v>188</v>
      </c>
      <c r="BA27" s="83" t="s">
        <v>189</v>
      </c>
      <c r="BB27" s="83" t="s">
        <v>206</v>
      </c>
      <c r="BC27" s="83" t="s">
        <v>207</v>
      </c>
      <c r="BD27" s="83" t="s">
        <v>208</v>
      </c>
      <c r="BE27" s="83" t="s">
        <v>209</v>
      </c>
      <c r="BF27" s="84" t="s">
        <v>202</v>
      </c>
      <c r="BG27" s="84" t="s">
        <v>203</v>
      </c>
      <c r="BH27" s="83" t="s">
        <v>188</v>
      </c>
      <c r="BI27" s="83" t="s">
        <v>189</v>
      </c>
      <c r="BJ27" s="83" t="s">
        <v>206</v>
      </c>
      <c r="BK27" s="83" t="s">
        <v>207</v>
      </c>
      <c r="BL27" s="84" t="s">
        <v>202</v>
      </c>
      <c r="BM27" s="85" t="s">
        <v>203</v>
      </c>
      <c r="BN27" s="83" t="s">
        <v>188</v>
      </c>
      <c r="BO27" s="83" t="s">
        <v>189</v>
      </c>
      <c r="BP27" s="84" t="s">
        <v>202</v>
      </c>
      <c r="BQ27" s="84" t="s">
        <v>203</v>
      </c>
      <c r="BR27" s="83" t="s">
        <v>188</v>
      </c>
      <c r="BS27" s="83" t="s">
        <v>189</v>
      </c>
    </row>
    <row r="28" spans="2:71" s="2" customFormat="1" ht="22.5" customHeight="1" x14ac:dyDescent="0.25">
      <c r="B28" s="321"/>
      <c r="C28" s="321"/>
      <c r="D28" s="19" t="s">
        <v>210</v>
      </c>
      <c r="E28" s="19" t="s">
        <v>211</v>
      </c>
      <c r="F28" s="19" t="s">
        <v>210</v>
      </c>
      <c r="G28" s="19" t="s">
        <v>211</v>
      </c>
      <c r="H28" s="19" t="s">
        <v>210</v>
      </c>
      <c r="I28" s="19" t="s">
        <v>130</v>
      </c>
      <c r="J28" s="19" t="s">
        <v>211</v>
      </c>
      <c r="K28" s="19" t="s">
        <v>130</v>
      </c>
      <c r="L28" s="19" t="s">
        <v>211</v>
      </c>
      <c r="M28" s="98" t="s">
        <v>212</v>
      </c>
      <c r="N28" s="19" t="s">
        <v>210</v>
      </c>
      <c r="O28" s="19" t="s">
        <v>211</v>
      </c>
      <c r="P28" s="19" t="s">
        <v>210</v>
      </c>
      <c r="Q28" s="19" t="s">
        <v>211</v>
      </c>
      <c r="R28" s="98" t="s">
        <v>213</v>
      </c>
      <c r="S28" s="19" t="s">
        <v>210</v>
      </c>
      <c r="T28" s="19" t="s">
        <v>211</v>
      </c>
      <c r="U28" s="19" t="s">
        <v>214</v>
      </c>
      <c r="V28" s="19" t="s">
        <v>214</v>
      </c>
      <c r="W28" s="19" t="s">
        <v>213</v>
      </c>
      <c r="X28" s="19" t="s">
        <v>214</v>
      </c>
      <c r="Y28" s="19" t="s">
        <v>214</v>
      </c>
      <c r="Z28" s="19" t="s">
        <v>215</v>
      </c>
      <c r="AA28" s="19" t="s">
        <v>210</v>
      </c>
      <c r="AB28" s="19" t="s">
        <v>211</v>
      </c>
      <c r="AC28" s="19" t="s">
        <v>214</v>
      </c>
      <c r="AD28" s="19" t="s">
        <v>210</v>
      </c>
      <c r="AE28" s="19" t="s">
        <v>211</v>
      </c>
      <c r="AF28" s="19" t="s">
        <v>215</v>
      </c>
      <c r="AG28" s="98">
        <v>1.5625E-2</v>
      </c>
      <c r="AH28" s="19" t="s">
        <v>210</v>
      </c>
      <c r="AI28" s="19" t="s">
        <v>211</v>
      </c>
      <c r="AJ28" s="19" t="s">
        <v>210</v>
      </c>
      <c r="AK28" s="19" t="s">
        <v>211</v>
      </c>
      <c r="AL28" s="98">
        <v>1.5625E-2</v>
      </c>
      <c r="AM28" s="19" t="s">
        <v>210</v>
      </c>
      <c r="AN28" s="19" t="s">
        <v>211</v>
      </c>
      <c r="AO28" s="19" t="s">
        <v>210</v>
      </c>
      <c r="AP28" s="19" t="s">
        <v>211</v>
      </c>
      <c r="AQ28" s="19" t="s">
        <v>211</v>
      </c>
      <c r="AR28" s="19" t="s">
        <v>132</v>
      </c>
      <c r="AS28" s="19" t="s">
        <v>216</v>
      </c>
      <c r="AT28" s="19" t="s">
        <v>217</v>
      </c>
      <c r="AU28" s="19" t="s">
        <v>218</v>
      </c>
      <c r="AV28" s="19" t="s">
        <v>214</v>
      </c>
      <c r="AW28" s="19" t="s">
        <v>214</v>
      </c>
      <c r="AX28" s="19" t="s">
        <v>214</v>
      </c>
      <c r="AY28" s="19" t="s">
        <v>214</v>
      </c>
      <c r="AZ28" s="19" t="s">
        <v>210</v>
      </c>
      <c r="BA28" s="19" t="s">
        <v>211</v>
      </c>
      <c r="BB28" s="19" t="s">
        <v>219</v>
      </c>
      <c r="BC28" s="19" t="s">
        <v>219</v>
      </c>
      <c r="BD28" s="19" t="s">
        <v>219</v>
      </c>
      <c r="BE28" s="19" t="s">
        <v>219</v>
      </c>
      <c r="BF28" s="19" t="s">
        <v>214</v>
      </c>
      <c r="BG28" s="19" t="s">
        <v>214</v>
      </c>
      <c r="BH28" s="19" t="s">
        <v>210</v>
      </c>
      <c r="BI28" s="22" t="s">
        <v>211</v>
      </c>
      <c r="BJ28" s="19" t="s">
        <v>219</v>
      </c>
      <c r="BK28" s="19" t="s">
        <v>219</v>
      </c>
      <c r="BL28" s="19" t="s">
        <v>214</v>
      </c>
      <c r="BM28" s="19" t="s">
        <v>214</v>
      </c>
      <c r="BN28" s="22" t="s">
        <v>130</v>
      </c>
      <c r="BO28" s="19" t="s">
        <v>211</v>
      </c>
      <c r="BP28" s="19" t="s">
        <v>214</v>
      </c>
      <c r="BQ28" s="19" t="s">
        <v>214</v>
      </c>
      <c r="BR28" s="19" t="s">
        <v>210</v>
      </c>
      <c r="BS28" s="19" t="s">
        <v>211</v>
      </c>
    </row>
    <row r="29" spans="2:71" ht="22.5" customHeight="1" x14ac:dyDescent="0.25">
      <c r="B29" s="417">
        <f>$M$6+1/24</f>
        <v>45311.416666666664</v>
      </c>
      <c r="C29" s="417"/>
      <c r="D29" s="65">
        <v>224.00866991409075</v>
      </c>
      <c r="E29" s="65">
        <v>77.691896126494456</v>
      </c>
      <c r="F29" s="65"/>
      <c r="G29" s="65">
        <v>75.609107971191406</v>
      </c>
      <c r="H29" s="65">
        <v>84.160259393268163</v>
      </c>
      <c r="I29" s="65" t="s">
        <v>220</v>
      </c>
      <c r="J29" s="65" t="s">
        <v>220</v>
      </c>
      <c r="K29" s="65" t="s">
        <v>220</v>
      </c>
      <c r="L29" s="65" t="s">
        <v>220</v>
      </c>
      <c r="M29" s="65" t="s">
        <v>220</v>
      </c>
      <c r="N29" s="65">
        <v>32.683829987676567</v>
      </c>
      <c r="O29" s="65" t="s">
        <v>220</v>
      </c>
      <c r="P29" s="65">
        <v>8.5010167883383847</v>
      </c>
      <c r="Q29" s="65">
        <v>72.390813182519196</v>
      </c>
      <c r="R29" s="65">
        <v>26.045982360839844</v>
      </c>
      <c r="S29" s="65">
        <v>7.51794522786592</v>
      </c>
      <c r="T29" s="65">
        <v>97.749354615796776</v>
      </c>
      <c r="U29" s="244">
        <f>AW29</f>
        <v>33.299999999999997</v>
      </c>
      <c r="V29" s="244">
        <f>IF(AW29="","",AW29*($W$53/100))</f>
        <v>14.097</v>
      </c>
      <c r="W29" s="244"/>
      <c r="X29" s="244">
        <f>IF(BG29&lt;&gt;"",BG29,"")</f>
        <v>152.9</v>
      </c>
      <c r="Y29" s="244">
        <f>BM29</f>
        <v>1264.9000000000001</v>
      </c>
      <c r="Z29" s="151">
        <v>1</v>
      </c>
      <c r="AA29" s="151" t="s">
        <v>1113</v>
      </c>
      <c r="AB29" s="151" t="s">
        <v>1113</v>
      </c>
      <c r="AC29" s="65">
        <f>BQ29</f>
        <v>0</v>
      </c>
      <c r="AD29" s="151" t="s">
        <v>1113</v>
      </c>
      <c r="AE29" s="65" t="s">
        <v>220</v>
      </c>
      <c r="AF29" s="65" t="s">
        <v>220</v>
      </c>
      <c r="AG29" s="151" t="s">
        <v>1113</v>
      </c>
      <c r="AH29" s="65" t="s">
        <v>220</v>
      </c>
      <c r="AI29" s="65" t="s">
        <v>220</v>
      </c>
      <c r="AJ29" s="65" t="s">
        <v>220</v>
      </c>
      <c r="AK29" s="65" t="s">
        <v>220</v>
      </c>
      <c r="AL29" s="65" t="s">
        <v>220</v>
      </c>
      <c r="AM29" s="65">
        <v>80.025270844738642</v>
      </c>
      <c r="AN29" s="65">
        <v>73.800003051757813</v>
      </c>
      <c r="AO29" s="65">
        <v>190.98898736866161</v>
      </c>
      <c r="AP29" s="65"/>
      <c r="AQ29" s="65"/>
      <c r="AR29" s="65">
        <v>170.04363205467371</v>
      </c>
      <c r="AS29" s="65"/>
      <c r="AT29" s="65"/>
      <c r="AU29" s="65">
        <v>55</v>
      </c>
      <c r="AV29" s="123"/>
      <c r="AW29" s="65">
        <f>IF(ISERR(IF($B29&lt;&gt;"",ROUND(_xll.PITimeDat(AW$67,$B29+20/1440,"sesaupi01","interpolated"),1),"")),"",IF($B29&lt;&gt;"",ROUND(_xll.PITimeDat(AW$67,$B29+20/1440,"sesaupi01","interpolated"),1),""))</f>
        <v>33.299999999999997</v>
      </c>
      <c r="AX29" s="65" t="s">
        <v>220</v>
      </c>
      <c r="AY29" s="65" t="s">
        <v>220</v>
      </c>
      <c r="AZ29" s="65">
        <f>IF(ISERR(IF($B29&lt;&gt;"",ROUND(_xll.PITimeDat(AZ$67,$B29+20/1440,"sesaupi01","interpolated"),1),"")),"",IF($B29&lt;&gt;"",ROUND(_xll.PITimeDat(AZ$67,$B29+20/1440,"sesaupi01","interpolated"),1),""))</f>
        <v>7.6</v>
      </c>
      <c r="BA29" s="65">
        <f>IF(ISERR(IF($B29&lt;&gt;"",ROUND(_xll.PITimeDat(BA$67,$B29+20/1440,"sesaupi01","interpolated"),1),"")),"",IF($B29&lt;&gt;"",ROUND(_xll.PITimeDat(BA$67,$B29+20/1440,"sesaupi01","interpolated"),1),""))</f>
        <v>97.6</v>
      </c>
      <c r="BB29" s="65" t="s">
        <v>220</v>
      </c>
      <c r="BC29" s="65" t="s">
        <v>220</v>
      </c>
      <c r="BD29" s="65" t="s">
        <v>220</v>
      </c>
      <c r="BE29" s="65" t="s">
        <v>220</v>
      </c>
      <c r="BF29" s="65" t="s">
        <v>220</v>
      </c>
      <c r="BG29" s="65">
        <f>IF(ISERR(IF($B29&lt;&gt;"",ROUND(_xll.PITimeDat(BG$67,$B29+20/1440,"sesaupi01","interpolated"),1),"")),"",IF($B29&lt;&gt;"",ROUND(_xll.PITimeDat(BG$67,$B29+20/1440,"sesaupi01","interpolated"),1),""))</f>
        <v>152.9</v>
      </c>
      <c r="BH29" s="65" t="s">
        <v>220</v>
      </c>
      <c r="BI29" s="65" t="s">
        <v>220</v>
      </c>
      <c r="BJ29" s="65" t="s">
        <v>220</v>
      </c>
      <c r="BK29" s="65" t="s">
        <v>220</v>
      </c>
      <c r="BL29" s="124"/>
      <c r="BM29" s="65">
        <f>IF(ISERR(IF($B29&lt;&gt;"",ROUND(_xll.PITimeDat(BM$67,$B29+20/1440,"sesaupi01","interpolated"),1),"")),"",IF($B29&lt;&gt;"",ROUND(_xll.PITimeDat(BM$67,$B29+20/1440,"sesaupi01","interpolated"),1),""))</f>
        <v>1264.9000000000001</v>
      </c>
      <c r="BN29" s="151">
        <v>8.5219137533461602</v>
      </c>
      <c r="BO29" s="151">
        <v>94.944393949080862</v>
      </c>
      <c r="BP29" s="124"/>
      <c r="BQ29" s="65">
        <f>IF(ISERR(IF($B29&lt;&gt;"",ROUND(_xll.PITimeDat(BQ$67,$B29+20/1440,"sesaupi01","interpolated"),1),"")),"",IF($B29&lt;&gt;"",ROUND(_xll.PITimeDat(BQ$67,$B29+20/1440,"sesaupi01","interpolated"),1),""))</f>
        <v>0</v>
      </c>
      <c r="BR29" s="124"/>
      <c r="BS29" s="124"/>
    </row>
    <row r="30" spans="2:71" ht="22.5" customHeight="1" x14ac:dyDescent="0.25">
      <c r="B30" s="314">
        <f>IF(B29&lt;&gt;"",IF(B29+1/24&lt;=$M$7,B29+1/24,""),"")</f>
        <v>45311.458333333328</v>
      </c>
      <c r="C30" s="315"/>
      <c r="D30" s="65">
        <v>224.01343323435606</v>
      </c>
      <c r="E30" s="65">
        <v>77.691998103106471</v>
      </c>
      <c r="F30" s="65"/>
      <c r="G30" s="65">
        <v>75.609107971191406</v>
      </c>
      <c r="H30" s="65">
        <v>83.268334553824531</v>
      </c>
      <c r="I30" s="65" t="s">
        <v>220</v>
      </c>
      <c r="J30" s="65" t="s">
        <v>220</v>
      </c>
      <c r="K30" s="65" t="s">
        <v>220</v>
      </c>
      <c r="L30" s="65" t="s">
        <v>220</v>
      </c>
      <c r="M30" s="65" t="s">
        <v>220</v>
      </c>
      <c r="N30" s="65">
        <v>32.682211153794036</v>
      </c>
      <c r="O30" s="65" t="s">
        <v>220</v>
      </c>
      <c r="P30" s="65">
        <v>8.33269850434292</v>
      </c>
      <c r="Q30" s="65">
        <v>72.395215872426206</v>
      </c>
      <c r="R30" s="65">
        <v>26.045982360839844</v>
      </c>
      <c r="S30" s="65">
        <v>7.3548419211512872</v>
      </c>
      <c r="T30" s="65">
        <v>97.59592749708618</v>
      </c>
      <c r="U30" s="244">
        <f t="shared" ref="U30:U52" si="0">AW30</f>
        <v>35.299999999999997</v>
      </c>
      <c r="V30" s="244">
        <f t="shared" ref="V30:V52" si="1">IF(AW30="","",AW30*($W$53/100))</f>
        <v>14.943666666666665</v>
      </c>
      <c r="W30" s="244"/>
      <c r="X30" s="244">
        <f>IF(BG30&lt;&gt;"",BG30,"")</f>
        <v>150.80000000000001</v>
      </c>
      <c r="Y30" s="244">
        <f t="shared" ref="Y30:Y52" si="2">BM30</f>
        <v>1269.4000000000001</v>
      </c>
      <c r="Z30" s="65"/>
      <c r="AA30" s="151" t="s">
        <v>1113</v>
      </c>
      <c r="AB30" s="151" t="s">
        <v>1113</v>
      </c>
      <c r="AC30" s="65">
        <f t="shared" ref="AC30:AC52" si="3">BQ30</f>
        <v>0</v>
      </c>
      <c r="AD30" s="151" t="s">
        <v>1113</v>
      </c>
      <c r="AE30" s="65" t="s">
        <v>220</v>
      </c>
      <c r="AF30" s="65" t="s">
        <v>220</v>
      </c>
      <c r="AG30" s="151" t="s">
        <v>1113</v>
      </c>
      <c r="AH30" s="65" t="s">
        <v>220</v>
      </c>
      <c r="AI30" s="65" t="s">
        <v>220</v>
      </c>
      <c r="AJ30" s="65" t="s">
        <v>220</v>
      </c>
      <c r="AK30" s="65" t="s">
        <v>220</v>
      </c>
      <c r="AL30" s="65" t="s">
        <v>220</v>
      </c>
      <c r="AM30" s="65">
        <v>80.034504077364147</v>
      </c>
      <c r="AN30" s="65">
        <v>73.800003051757813</v>
      </c>
      <c r="AO30" s="65">
        <v>190.96994555129166</v>
      </c>
      <c r="AP30" s="65"/>
      <c r="AQ30" s="65"/>
      <c r="AR30" s="65">
        <v>169.89822310405646</v>
      </c>
      <c r="AS30" s="65"/>
      <c r="AT30" s="65"/>
      <c r="AU30" s="65">
        <v>55</v>
      </c>
      <c r="AV30" s="123"/>
      <c r="AW30" s="65">
        <f>IF(ISERR(IF($B30&lt;&gt;"",ROUND(_xll.PITimeDat(AW$67,$B30+20/1440,"sesaupi01","interpolated"),1),"")),"",IF($B30&lt;&gt;"",ROUND(_xll.PITimeDat(AW$67,$B30+20/1440,"sesaupi01","interpolated"),1),""))</f>
        <v>35.299999999999997</v>
      </c>
      <c r="AX30" s="65" t="s">
        <v>220</v>
      </c>
      <c r="AY30" s="65" t="s">
        <v>220</v>
      </c>
      <c r="AZ30" s="65">
        <f>IF(ISERR(IF($B30&lt;&gt;"",ROUND(_xll.PITimeDat(AZ$67,$B30+20/1440,"sesaupi01","interpolated"),1),"")),"",IF($B30&lt;&gt;"",ROUND(_xll.PITimeDat(AZ$67,$B30+20/1440,"sesaupi01","interpolated"),1),""))</f>
        <v>7.4</v>
      </c>
      <c r="BA30" s="65">
        <f>IF(ISERR(IF($B30&lt;&gt;"",ROUND(_xll.PITimeDat(BA$67,$B30+20/1440,"sesaupi01","interpolated"),1),"")),"",IF($B30&lt;&gt;"",ROUND(_xll.PITimeDat(BA$67,$B30+20/1440,"sesaupi01","interpolated"),1),""))</f>
        <v>97.2</v>
      </c>
      <c r="BB30" s="65" t="s">
        <v>220</v>
      </c>
      <c r="BC30" s="65" t="s">
        <v>220</v>
      </c>
      <c r="BD30" s="65" t="s">
        <v>220</v>
      </c>
      <c r="BE30" s="65" t="s">
        <v>220</v>
      </c>
      <c r="BF30" s="65" t="s">
        <v>220</v>
      </c>
      <c r="BG30" s="65">
        <f>IF(ISERR(IF($B30&lt;&gt;"",ROUND(_xll.PITimeDat(BG$67,$B30+20/1440,"sesaupi01","interpolated"),1),"")),"",IF($B30&lt;&gt;"",ROUND(_xll.PITimeDat(BG$67,$B30+20/1440,"sesaupi01","interpolated"),1),""))</f>
        <v>150.80000000000001</v>
      </c>
      <c r="BH30" s="65" t="s">
        <v>220</v>
      </c>
      <c r="BI30" s="65" t="s">
        <v>220</v>
      </c>
      <c r="BJ30" s="65" t="s">
        <v>220</v>
      </c>
      <c r="BK30" s="65" t="s">
        <v>220</v>
      </c>
      <c r="BL30" s="124"/>
      <c r="BM30" s="65">
        <f>IF(ISERR(IF($B30&lt;&gt;"",ROUND(_xll.PITimeDat(BM$67,$B30+20/1440,"sesaupi01","interpolated"),1),"")),"",IF($B30&lt;&gt;"",ROUND(_xll.PITimeDat(BM$67,$B30+20/1440,"sesaupi01","interpolated"),1),""))</f>
        <v>1269.4000000000001</v>
      </c>
      <c r="BN30" s="151">
        <v>8.3625004344383882</v>
      </c>
      <c r="BO30" s="151">
        <v>94.480906815116796</v>
      </c>
      <c r="BP30" s="124"/>
      <c r="BQ30" s="65">
        <f>IF(ISERR(IF($B30&lt;&gt;"",ROUND(_xll.PITimeDat(BQ$67,$B30+20/1440,"sesaupi01","interpolated"),1),"")),"",IF($B30&lt;&gt;"",ROUND(_xll.PITimeDat(BQ$67,$B30+20/1440,"sesaupi01","interpolated"),1),""))</f>
        <v>0</v>
      </c>
      <c r="BR30" s="124"/>
      <c r="BS30" s="124"/>
    </row>
    <row r="31" spans="2:71" ht="22.5" customHeight="1" x14ac:dyDescent="0.25">
      <c r="B31" s="314">
        <f t="shared" ref="B31:B36" si="4">IF(B30&lt;&gt;"",IF(B30+1/24&lt;=$M$7,B30+1/24,""),"")</f>
        <v>45311.499999999993</v>
      </c>
      <c r="C31" s="315"/>
      <c r="D31" s="65">
        <v>224.01997704783597</v>
      </c>
      <c r="E31" s="65">
        <v>77.69194787698251</v>
      </c>
      <c r="F31" s="65"/>
      <c r="G31" s="65">
        <v>75.609107971191406</v>
      </c>
      <c r="H31" s="65">
        <v>81.050122533948326</v>
      </c>
      <c r="I31" s="65" t="s">
        <v>220</v>
      </c>
      <c r="J31" s="65" t="s">
        <v>220</v>
      </c>
      <c r="K31" s="65" t="s">
        <v>220</v>
      </c>
      <c r="L31" s="65" t="s">
        <v>220</v>
      </c>
      <c r="M31" s="65" t="s">
        <v>220</v>
      </c>
      <c r="N31" s="65">
        <v>32.674762406773915</v>
      </c>
      <c r="O31" s="65" t="s">
        <v>220</v>
      </c>
      <c r="P31" s="65">
        <v>8.3627373100880273</v>
      </c>
      <c r="Q31" s="65">
        <v>72.399618562333202</v>
      </c>
      <c r="R31" s="65">
        <v>26.045982360839844</v>
      </c>
      <c r="S31" s="65">
        <v>7.3731524689980219</v>
      </c>
      <c r="T31" s="65">
        <v>97.204209753980109</v>
      </c>
      <c r="U31" s="244">
        <f t="shared" si="0"/>
        <v>35.4</v>
      </c>
      <c r="V31" s="244">
        <f t="shared" si="1"/>
        <v>14.985999999999999</v>
      </c>
      <c r="W31" s="244"/>
      <c r="X31" s="244">
        <f t="shared" ref="X31:X52" si="5">IF(BG31&lt;&gt;"",BG31,"")</f>
        <v>150.80000000000001</v>
      </c>
      <c r="Y31" s="244">
        <f t="shared" si="2"/>
        <v>1253.9000000000001</v>
      </c>
      <c r="Z31" s="65"/>
      <c r="AA31" s="151" t="s">
        <v>1113</v>
      </c>
      <c r="AB31" s="151" t="s">
        <v>1113</v>
      </c>
      <c r="AC31" s="65">
        <f t="shared" si="3"/>
        <v>0</v>
      </c>
      <c r="AD31" s="151" t="s">
        <v>1113</v>
      </c>
      <c r="AE31" s="65" t="s">
        <v>220</v>
      </c>
      <c r="AF31" s="65" t="s">
        <v>220</v>
      </c>
      <c r="AG31" s="151" t="s">
        <v>1113</v>
      </c>
      <c r="AH31" s="65" t="s">
        <v>220</v>
      </c>
      <c r="AI31" s="65" t="s">
        <v>220</v>
      </c>
      <c r="AJ31" s="65" t="s">
        <v>220</v>
      </c>
      <c r="AK31" s="65" t="s">
        <v>220</v>
      </c>
      <c r="AL31" s="65" t="s">
        <v>220</v>
      </c>
      <c r="AM31" s="65">
        <v>80.043737309989666</v>
      </c>
      <c r="AN31" s="65">
        <v>73.800003051757813</v>
      </c>
      <c r="AO31" s="65">
        <v>190.96158561238551</v>
      </c>
      <c r="AP31" s="65"/>
      <c r="AQ31" s="65"/>
      <c r="AR31" s="65">
        <v>169.86308201058202</v>
      </c>
      <c r="AS31" s="65"/>
      <c r="AT31" s="65"/>
      <c r="AU31" s="65">
        <v>55</v>
      </c>
      <c r="AV31" s="123"/>
      <c r="AW31" s="65">
        <f>IF(ISERR(IF($B31&lt;&gt;"",ROUND(_xll.PITimeDat(AW$67,$B31+20/1440,"sesaupi01","interpolated"),1),"")),"",IF($B31&lt;&gt;"",ROUND(_xll.PITimeDat(AW$67,$B31+20/1440,"sesaupi01","interpolated"),1),""))</f>
        <v>35.4</v>
      </c>
      <c r="AX31" s="65" t="s">
        <v>220</v>
      </c>
      <c r="AY31" s="65" t="s">
        <v>220</v>
      </c>
      <c r="AZ31" s="65">
        <f>IF(ISERR(IF($B31&lt;&gt;"",ROUND(_xll.PITimeDat(AZ$67,$B31+20/1440,"sesaupi01","interpolated"),1),"")),"",IF($B31&lt;&gt;"",ROUND(_xll.PITimeDat(AZ$67,$B31+20/1440,"sesaupi01","interpolated"),1),""))</f>
        <v>7.5</v>
      </c>
      <c r="BA31" s="65">
        <f>IF(ISERR(IF($B31&lt;&gt;"",ROUND(_xll.PITimeDat(BA$67,$B31+20/1440,"sesaupi01","interpolated"),1),"")),"",IF($B31&lt;&gt;"",ROUND(_xll.PITimeDat(BA$67,$B31+20/1440,"sesaupi01","interpolated"),1),""))</f>
        <v>97.5</v>
      </c>
      <c r="BB31" s="65" t="s">
        <v>220</v>
      </c>
      <c r="BC31" s="65" t="s">
        <v>220</v>
      </c>
      <c r="BD31" s="65" t="s">
        <v>220</v>
      </c>
      <c r="BE31" s="65" t="s">
        <v>220</v>
      </c>
      <c r="BF31" s="65" t="s">
        <v>220</v>
      </c>
      <c r="BG31" s="65">
        <f>IF(ISERR(IF($B31&lt;&gt;"",ROUND(_xll.PITimeDat(BG$67,$B31+20/1440,"sesaupi01","interpolated"),1),"")),"",IF($B31&lt;&gt;"",ROUND(_xll.PITimeDat(BG$67,$B31+20/1440,"sesaupi01","interpolated"),1),""))</f>
        <v>150.80000000000001</v>
      </c>
      <c r="BH31" s="65" t="s">
        <v>220</v>
      </c>
      <c r="BI31" s="65" t="s">
        <v>220</v>
      </c>
      <c r="BJ31" s="65" t="s">
        <v>220</v>
      </c>
      <c r="BK31" s="65" t="s">
        <v>220</v>
      </c>
      <c r="BL31" s="124"/>
      <c r="BM31" s="65">
        <f>IF(ISERR(IF($B31&lt;&gt;"",ROUND(_xll.PITimeDat(BM$67,$B31+20/1440,"sesaupi01","interpolated"),1),"")),"",IF($B31&lt;&gt;"",ROUND(_xll.PITimeDat(BM$67,$B31+20/1440,"sesaupi01","interpolated"),1),""))</f>
        <v>1253.9000000000001</v>
      </c>
      <c r="BN31" s="151">
        <v>8.3859004700978588</v>
      </c>
      <c r="BO31" s="151">
        <v>95.188134583214946</v>
      </c>
      <c r="BP31" s="124"/>
      <c r="BQ31" s="65">
        <f>IF(ISERR(IF($B31&lt;&gt;"",ROUND(_xll.PITimeDat(BQ$67,$B31+20/1440,"sesaupi01","interpolated"),1),"")),"",IF($B31&lt;&gt;"",ROUND(_xll.PITimeDat(BQ$67,$B31+20/1440,"sesaupi01","interpolated"),1),""))</f>
        <v>0</v>
      </c>
      <c r="BR31" s="124"/>
      <c r="BS31" s="124"/>
    </row>
    <row r="32" spans="2:71" ht="22.5" customHeight="1" x14ac:dyDescent="0.25">
      <c r="B32" s="314">
        <f t="shared" si="4"/>
        <v>45311.541666666657</v>
      </c>
      <c r="C32" s="315"/>
      <c r="D32" s="65">
        <v>224.02614056267154</v>
      </c>
      <c r="E32" s="65">
        <v>77.6916901444866</v>
      </c>
      <c r="F32" s="65"/>
      <c r="G32" s="65">
        <v>75.609107971191406</v>
      </c>
      <c r="H32" s="65">
        <v>79.434907703938308</v>
      </c>
      <c r="I32" s="65" t="s">
        <v>220</v>
      </c>
      <c r="J32" s="65" t="s">
        <v>220</v>
      </c>
      <c r="K32" s="65" t="s">
        <v>220</v>
      </c>
      <c r="L32" s="65" t="s">
        <v>220</v>
      </c>
      <c r="M32" s="65" t="s">
        <v>220</v>
      </c>
      <c r="N32" s="65">
        <v>32.713564666669605</v>
      </c>
      <c r="O32" s="65" t="s">
        <v>220</v>
      </c>
      <c r="P32" s="65">
        <v>8.5267156502304893</v>
      </c>
      <c r="Q32" s="65">
        <v>72.404021252240199</v>
      </c>
      <c r="R32" s="65">
        <v>26.045982360839844</v>
      </c>
      <c r="S32" s="65">
        <v>7.5387738063732783</v>
      </c>
      <c r="T32" s="65">
        <v>97.476391766079018</v>
      </c>
      <c r="U32" s="244">
        <f>AW32</f>
        <v>33.1</v>
      </c>
      <c r="V32" s="244">
        <f>IF(AW32="","",AW32*($W$53/100))</f>
        <v>14.012333333333334</v>
      </c>
      <c r="W32" s="244"/>
      <c r="X32" s="244">
        <f t="shared" si="5"/>
        <v>153</v>
      </c>
      <c r="Y32" s="244">
        <f t="shared" si="2"/>
        <v>1252</v>
      </c>
      <c r="Z32" s="65"/>
      <c r="AA32" s="151" t="s">
        <v>1113</v>
      </c>
      <c r="AB32" s="151" t="s">
        <v>1113</v>
      </c>
      <c r="AC32" s="65">
        <f t="shared" si="3"/>
        <v>0</v>
      </c>
      <c r="AD32" s="151" t="s">
        <v>1113</v>
      </c>
      <c r="AE32" s="65" t="s">
        <v>220</v>
      </c>
      <c r="AF32" s="65" t="s">
        <v>220</v>
      </c>
      <c r="AG32" s="151" t="s">
        <v>1113</v>
      </c>
      <c r="AH32" s="65" t="s">
        <v>220</v>
      </c>
      <c r="AI32" s="65" t="s">
        <v>220</v>
      </c>
      <c r="AJ32" s="65" t="s">
        <v>220</v>
      </c>
      <c r="AK32" s="65" t="s">
        <v>220</v>
      </c>
      <c r="AL32" s="65" t="s">
        <v>220</v>
      </c>
      <c r="AM32" s="65">
        <v>80.052970542615171</v>
      </c>
      <c r="AN32" s="65">
        <v>73.800003051757813</v>
      </c>
      <c r="AO32" s="65">
        <v>190.95238525773379</v>
      </c>
      <c r="AP32" s="65"/>
      <c r="AQ32" s="65"/>
      <c r="AR32" s="65">
        <v>169.74258432539682</v>
      </c>
      <c r="AS32" s="65"/>
      <c r="AT32" s="65"/>
      <c r="AU32" s="65">
        <v>55</v>
      </c>
      <c r="AV32" s="123"/>
      <c r="AW32" s="65">
        <f>IF(ISERR(IF($B32&lt;&gt;"",ROUND(_xll.PITimeDat(AW$67,$B32+20/1440,"sesaupi01","interpolated"),1),"")),"",IF($B32&lt;&gt;"",ROUND(_xll.PITimeDat(AW$67,$B32+20/1440,"sesaupi01","interpolated"),1),""))</f>
        <v>33.1</v>
      </c>
      <c r="AX32" s="65" t="s">
        <v>220</v>
      </c>
      <c r="AY32" s="65" t="s">
        <v>220</v>
      </c>
      <c r="AZ32" s="65">
        <f>IF(ISERR(IF($B32&lt;&gt;"",ROUND(_xll.PITimeDat(AZ$67,$B32+20/1440,"sesaupi01","interpolated"),1),"")),"",IF($B32&lt;&gt;"",ROUND(_xll.PITimeDat(AZ$67,$B32+20/1440,"sesaupi01","interpolated"),1),""))</f>
        <v>7.6</v>
      </c>
      <c r="BA32" s="65">
        <f>IF(ISERR(IF($B32&lt;&gt;"",ROUND(_xll.PITimeDat(BA$67,$B32+20/1440,"sesaupi01","interpolated"),1),"")),"",IF($B32&lt;&gt;"",ROUND(_xll.PITimeDat(BA$67,$B32+20/1440,"sesaupi01","interpolated"),1),""))</f>
        <v>97.2</v>
      </c>
      <c r="BB32" s="65" t="s">
        <v>220</v>
      </c>
      <c r="BC32" s="65" t="s">
        <v>220</v>
      </c>
      <c r="BD32" s="65" t="s">
        <v>220</v>
      </c>
      <c r="BE32" s="65" t="s">
        <v>220</v>
      </c>
      <c r="BF32" s="65" t="s">
        <v>220</v>
      </c>
      <c r="BG32" s="65">
        <f>IF(ISERR(IF($B32&lt;&gt;"",ROUND(_xll.PITimeDat(BG$67,$B32+20/1440,"sesaupi01","interpolated"),1),"")),"",IF($B32&lt;&gt;"",ROUND(_xll.PITimeDat(BG$67,$B32+20/1440,"sesaupi01","interpolated"),1),""))</f>
        <v>153</v>
      </c>
      <c r="BH32" s="65" t="s">
        <v>220</v>
      </c>
      <c r="BI32" s="65" t="s">
        <v>220</v>
      </c>
      <c r="BJ32" s="65" t="s">
        <v>220</v>
      </c>
      <c r="BK32" s="65" t="s">
        <v>220</v>
      </c>
      <c r="BL32" s="124"/>
      <c r="BM32" s="65">
        <f>IF(ISERR(IF($B32&lt;&gt;"",ROUND(_xll.PITimeDat(BM$67,$B32+20/1440,"sesaupi01","interpolated"),1),"")),"",IF($B32&lt;&gt;"",ROUND(_xll.PITimeDat(BM$67,$B32+20/1440,"sesaupi01","interpolated"),1),""))</f>
        <v>1252</v>
      </c>
      <c r="BN32" s="151">
        <v>8.5491955874602006</v>
      </c>
      <c r="BO32" s="151">
        <v>95.66294312351377</v>
      </c>
      <c r="BP32" s="124"/>
      <c r="BQ32" s="65">
        <f>IF(ISERR(IF($B32&lt;&gt;"",ROUND(_xll.PITimeDat(BQ$67,$B32+20/1440,"sesaupi01","interpolated"),1),"")),"",IF($B32&lt;&gt;"",ROUND(_xll.PITimeDat(BQ$67,$B32+20/1440,"sesaupi01","interpolated"),1),""))</f>
        <v>0</v>
      </c>
      <c r="BR32" s="124"/>
      <c r="BS32" s="124"/>
    </row>
    <row r="33" spans="2:71" ht="22.5" customHeight="1" x14ac:dyDescent="0.25">
      <c r="B33" s="314">
        <f t="shared" si="4"/>
        <v>45311.583333333321</v>
      </c>
      <c r="C33" s="315"/>
      <c r="D33" s="65">
        <v>224.02787521590679</v>
      </c>
      <c r="E33" s="65">
        <v>77.69175779436253</v>
      </c>
      <c r="F33" s="65"/>
      <c r="G33" s="65">
        <v>75.609107971191406</v>
      </c>
      <c r="H33" s="65">
        <v>74.17239259565352</v>
      </c>
      <c r="I33" s="65" t="s">
        <v>220</v>
      </c>
      <c r="J33" s="65" t="s">
        <v>220</v>
      </c>
      <c r="K33" s="65" t="s">
        <v>220</v>
      </c>
      <c r="L33" s="65" t="s">
        <v>220</v>
      </c>
      <c r="M33" s="65" t="s">
        <v>220</v>
      </c>
      <c r="N33" s="65">
        <v>32.682168231023233</v>
      </c>
      <c r="O33" s="65" t="s">
        <v>220</v>
      </c>
      <c r="P33" s="65">
        <v>8.6539636738243555</v>
      </c>
      <c r="Q33" s="65">
        <v>72.408034604896358</v>
      </c>
      <c r="R33" s="65">
        <v>26.045982360839844</v>
      </c>
      <c r="S33" s="65">
        <v>7.6818856505151549</v>
      </c>
      <c r="T33" s="65">
        <v>97.148709727704443</v>
      </c>
      <c r="U33" s="244">
        <f t="shared" ref="U33:U39" si="6">AW33</f>
        <v>31.3</v>
      </c>
      <c r="V33" s="65">
        <f t="shared" si="1"/>
        <v>13.250333333333334</v>
      </c>
      <c r="W33" s="244"/>
      <c r="X33" s="65">
        <f t="shared" si="5"/>
        <v>154.9</v>
      </c>
      <c r="Y33" s="65">
        <f t="shared" si="2"/>
        <v>1242.7</v>
      </c>
      <c r="Z33" s="65"/>
      <c r="AA33" s="151" t="s">
        <v>1113</v>
      </c>
      <c r="AB33" s="151" t="s">
        <v>1113</v>
      </c>
      <c r="AC33" s="65">
        <f t="shared" si="3"/>
        <v>0</v>
      </c>
      <c r="AD33" s="151" t="s">
        <v>1113</v>
      </c>
      <c r="AE33" s="65" t="s">
        <v>220</v>
      </c>
      <c r="AF33" s="65" t="s">
        <v>220</v>
      </c>
      <c r="AG33" s="151" t="s">
        <v>1113</v>
      </c>
      <c r="AH33" s="65" t="s">
        <v>220</v>
      </c>
      <c r="AI33" s="65" t="s">
        <v>220</v>
      </c>
      <c r="AJ33" s="65" t="s">
        <v>220</v>
      </c>
      <c r="AK33" s="65" t="s">
        <v>220</v>
      </c>
      <c r="AL33" s="65" t="s">
        <v>220</v>
      </c>
      <c r="AM33" s="65">
        <v>80.062203775240675</v>
      </c>
      <c r="AN33" s="65">
        <v>73.800003051757813</v>
      </c>
      <c r="AO33" s="65">
        <v>191.09295241352686</v>
      </c>
      <c r="AP33" s="65"/>
      <c r="AQ33" s="65"/>
      <c r="AR33" s="65">
        <v>169.79024395743144</v>
      </c>
      <c r="AS33" s="65"/>
      <c r="AT33" s="65"/>
      <c r="AU33" s="65">
        <v>55</v>
      </c>
      <c r="AV33" s="123"/>
      <c r="AW33" s="65">
        <f>IF(ISERR(IF($B33&lt;&gt;"",ROUND(_xll.PITimeDat(AW$67,$B33+20/1440,"sesaupi01","interpolated"),1),"")),"",IF($B33&lt;&gt;"",ROUND(_xll.PITimeDat(AW$67,$B33+20/1440,"sesaupi01","interpolated"),1),""))</f>
        <v>31.3</v>
      </c>
      <c r="AX33" s="65" t="s">
        <v>220</v>
      </c>
      <c r="AY33" s="65" t="s">
        <v>220</v>
      </c>
      <c r="AZ33" s="65">
        <f>IF(ISERR(IF($B33&lt;&gt;"",ROUND(_xll.PITimeDat(AZ$67,$B33+20/1440,"sesaupi01","interpolated"),1),"")),"",IF($B33&lt;&gt;"",ROUND(_xll.PITimeDat(AZ$67,$B33+20/1440,"sesaupi01","interpolated"),1),""))</f>
        <v>7.8</v>
      </c>
      <c r="BA33" s="65">
        <f>IF(ISERR(IF($B33&lt;&gt;"",ROUND(_xll.PITimeDat(BA$67,$B33+20/1440,"sesaupi01","interpolated"),1),"")),"",IF($B33&lt;&gt;"",ROUND(_xll.PITimeDat(BA$67,$B33+20/1440,"sesaupi01","interpolated"),1),""))</f>
        <v>96.6</v>
      </c>
      <c r="BB33" s="65" t="s">
        <v>220</v>
      </c>
      <c r="BC33" s="65" t="s">
        <v>220</v>
      </c>
      <c r="BD33" s="65" t="s">
        <v>220</v>
      </c>
      <c r="BE33" s="65" t="s">
        <v>220</v>
      </c>
      <c r="BF33" s="65" t="s">
        <v>220</v>
      </c>
      <c r="BG33" s="65">
        <f>IF(ISERR(IF($B33&lt;&gt;"",ROUND(_xll.PITimeDat(BG$67,$B33+20/1440,"sesaupi01","interpolated"),1),"")),"",IF($B33&lt;&gt;"",ROUND(_xll.PITimeDat(BG$67,$B33+20/1440,"sesaupi01","interpolated"),1),""))</f>
        <v>154.9</v>
      </c>
      <c r="BH33" s="65" t="s">
        <v>220</v>
      </c>
      <c r="BI33" s="65" t="s">
        <v>220</v>
      </c>
      <c r="BJ33" s="65" t="s">
        <v>220</v>
      </c>
      <c r="BK33" s="65" t="s">
        <v>220</v>
      </c>
      <c r="BL33" s="124"/>
      <c r="BM33" s="65">
        <f>IF(ISERR(IF($B33&lt;&gt;"",ROUND(_xll.PITimeDat(BM$67,$B33+20/1440,"sesaupi01","interpolated"),1),"")),"",IF($B33&lt;&gt;"",ROUND(_xll.PITimeDat(BM$67,$B33+20/1440,"sesaupi01","interpolated"),1),""))</f>
        <v>1242.7</v>
      </c>
      <c r="BN33" s="151">
        <v>8.6752520108646802</v>
      </c>
      <c r="BO33" s="151">
        <v>95.540645370685866</v>
      </c>
      <c r="BP33" s="124"/>
      <c r="BQ33" s="65">
        <f>IF(ISERR(IF($B33&lt;&gt;"",ROUND(_xll.PITimeDat(BQ$67,$B33+20/1440,"sesaupi01","interpolated"),1),"")),"",IF($B33&lt;&gt;"",ROUND(_xll.PITimeDat(BQ$67,$B33+20/1440,"sesaupi01","interpolated"),1),""))</f>
        <v>0</v>
      </c>
      <c r="BR33" s="124"/>
      <c r="BS33" s="124"/>
    </row>
    <row r="34" spans="2:71" ht="22.5" customHeight="1" x14ac:dyDescent="0.25">
      <c r="B34" s="314">
        <f t="shared" si="4"/>
        <v>45311.624999999985</v>
      </c>
      <c r="C34" s="315"/>
      <c r="D34" s="65">
        <v>224.02070511384696</v>
      </c>
      <c r="E34" s="65">
        <v>77.691811432149663</v>
      </c>
      <c r="F34" s="65"/>
      <c r="G34" s="65">
        <v>75.609107971191406</v>
      </c>
      <c r="H34" s="65">
        <v>67.174992400870693</v>
      </c>
      <c r="I34" s="65" t="s">
        <v>220</v>
      </c>
      <c r="J34" s="65" t="s">
        <v>220</v>
      </c>
      <c r="K34" s="65" t="s">
        <v>220</v>
      </c>
      <c r="L34" s="65" t="s">
        <v>220</v>
      </c>
      <c r="M34" s="65" t="s">
        <v>220</v>
      </c>
      <c r="N34" s="65">
        <v>32.603299301954848</v>
      </c>
      <c r="O34" s="65" t="s">
        <v>220</v>
      </c>
      <c r="P34" s="65">
        <v>8.6589814600395769</v>
      </c>
      <c r="Q34" s="65">
        <v>72.373571140646078</v>
      </c>
      <c r="R34" s="65">
        <v>26.045982360839844</v>
      </c>
      <c r="S34" s="65">
        <v>7.6899500361093187</v>
      </c>
      <c r="T34" s="65">
        <v>96.618123666051815</v>
      </c>
      <c r="U34" s="244">
        <f t="shared" si="6"/>
        <v>31.5</v>
      </c>
      <c r="V34" s="65">
        <f t="shared" si="1"/>
        <v>13.335000000000001</v>
      </c>
      <c r="W34" s="65">
        <v>41</v>
      </c>
      <c r="X34" s="65">
        <f t="shared" si="5"/>
        <v>154.80000000000001</v>
      </c>
      <c r="Y34" s="65">
        <f t="shared" si="2"/>
        <v>1257.8</v>
      </c>
      <c r="Z34" s="65"/>
      <c r="AA34" s="151" t="s">
        <v>1113</v>
      </c>
      <c r="AB34" s="151" t="s">
        <v>1113</v>
      </c>
      <c r="AC34" s="65">
        <f t="shared" si="3"/>
        <v>0</v>
      </c>
      <c r="AD34" s="151" t="s">
        <v>1113</v>
      </c>
      <c r="AE34" s="65" t="s">
        <v>220</v>
      </c>
      <c r="AF34" s="65" t="s">
        <v>220</v>
      </c>
      <c r="AG34" s="151" t="s">
        <v>1113</v>
      </c>
      <c r="AH34" s="65" t="s">
        <v>220</v>
      </c>
      <c r="AI34" s="65" t="s">
        <v>220</v>
      </c>
      <c r="AJ34" s="65" t="s">
        <v>220</v>
      </c>
      <c r="AK34" s="65" t="s">
        <v>220</v>
      </c>
      <c r="AL34" s="65" t="s">
        <v>220</v>
      </c>
      <c r="AM34" s="65">
        <v>80.071437007866194</v>
      </c>
      <c r="AN34" s="65">
        <v>73.800003051757813</v>
      </c>
      <c r="AO34" s="65">
        <v>191.03515254788709</v>
      </c>
      <c r="AP34" s="65"/>
      <c r="AQ34" s="65"/>
      <c r="AR34" s="65">
        <v>169.7993740981241</v>
      </c>
      <c r="AS34" s="65"/>
      <c r="AT34" s="65"/>
      <c r="AU34" s="65">
        <v>55</v>
      </c>
      <c r="AV34" s="123"/>
      <c r="AW34" s="65">
        <f>IF(ISERR(IF($B34&lt;&gt;"",ROUND(_xll.PITimeDat(AW$67,$B34+20/1440,"sesaupi01","interpolated"),1),"")),"",IF($B34&lt;&gt;"",ROUND(_xll.PITimeDat(AW$67,$B34+20/1440,"sesaupi01","interpolated"),1),""))</f>
        <v>31.5</v>
      </c>
      <c r="AX34" s="65" t="s">
        <v>220</v>
      </c>
      <c r="AY34" s="65" t="s">
        <v>220</v>
      </c>
      <c r="AZ34" s="65">
        <f>IF(ISERR(IF($B34&lt;&gt;"",ROUND(_xll.PITimeDat(AZ$67,$B34+20/1440,"sesaupi01","interpolated"),1),"")),"",IF($B34&lt;&gt;"",ROUND(_xll.PITimeDat(AZ$67,$B34+20/1440,"sesaupi01","interpolated"),1),""))</f>
        <v>7.8</v>
      </c>
      <c r="BA34" s="65">
        <f>IF(ISERR(IF($B34&lt;&gt;"",ROUND(_xll.PITimeDat(BA$67,$B34+20/1440,"sesaupi01","interpolated"),1),"")),"",IF($B34&lt;&gt;"",ROUND(_xll.PITimeDat(BA$67,$B34+20/1440,"sesaupi01","interpolated"),1),""))</f>
        <v>97</v>
      </c>
      <c r="BB34" s="65" t="s">
        <v>220</v>
      </c>
      <c r="BC34" s="65" t="s">
        <v>220</v>
      </c>
      <c r="BD34" s="65" t="s">
        <v>220</v>
      </c>
      <c r="BE34" s="65" t="s">
        <v>220</v>
      </c>
      <c r="BF34" s="65" t="s">
        <v>220</v>
      </c>
      <c r="BG34" s="65">
        <f>IF(ISERR(IF($B34&lt;&gt;"",ROUND(_xll.PITimeDat(BG$67,$B34+20/1440,"sesaupi01","interpolated"),1),"")),"",IF($B34&lt;&gt;"",ROUND(_xll.PITimeDat(BG$67,$B34+20/1440,"sesaupi01","interpolated"),1),""))</f>
        <v>154.80000000000001</v>
      </c>
      <c r="BH34" s="65" t="s">
        <v>220</v>
      </c>
      <c r="BI34" s="65" t="s">
        <v>220</v>
      </c>
      <c r="BJ34" s="65" t="s">
        <v>220</v>
      </c>
      <c r="BK34" s="65" t="s">
        <v>220</v>
      </c>
      <c r="BL34" s="124"/>
      <c r="BM34" s="65">
        <f>IF(ISERR(IF($B34&lt;&gt;"",ROUND(_xll.PITimeDat(BM$67,$B34+20/1440,"sesaupi01","interpolated"),1),"")),"",IF($B34&lt;&gt;"",ROUND(_xll.PITimeDat(BM$67,$B34+20/1440,"sesaupi01","interpolated"),1),""))</f>
        <v>1257.8</v>
      </c>
      <c r="BN34" s="151">
        <v>8.6874647486315837</v>
      </c>
      <c r="BO34" s="151">
        <v>95.780454599069373</v>
      </c>
      <c r="BP34" s="124"/>
      <c r="BQ34" s="65">
        <f>IF(ISERR(IF($B34&lt;&gt;"",ROUND(_xll.PITimeDat(BQ$67,$B34+20/1440,"sesaupi01","interpolated"),1),"")),"",IF($B34&lt;&gt;"",ROUND(_xll.PITimeDat(BQ$67,$B34+20/1440,"sesaupi01","interpolated"),1),""))</f>
        <v>0</v>
      </c>
      <c r="BR34" s="124"/>
      <c r="BS34" s="124"/>
    </row>
    <row r="35" spans="2:71" ht="22.5" customHeight="1" x14ac:dyDescent="0.25">
      <c r="B35" s="314">
        <f t="shared" si="4"/>
        <v>45311.66666666665</v>
      </c>
      <c r="C35" s="315"/>
      <c r="D35" s="65">
        <v>224.00808930248684</v>
      </c>
      <c r="E35" s="65">
        <v>77.691956111272177</v>
      </c>
      <c r="F35" s="65"/>
      <c r="G35" s="65">
        <v>75.609107971191406</v>
      </c>
      <c r="H35" s="65">
        <v>63.127612291570401</v>
      </c>
      <c r="I35" s="65" t="s">
        <v>220</v>
      </c>
      <c r="J35" s="65" t="s">
        <v>220</v>
      </c>
      <c r="K35" s="65" t="s">
        <v>220</v>
      </c>
      <c r="L35" s="65" t="s">
        <v>220</v>
      </c>
      <c r="M35" s="65" t="s">
        <v>220</v>
      </c>
      <c r="N35" s="65">
        <v>32.542416342182705</v>
      </c>
      <c r="O35" s="65" t="s">
        <v>220</v>
      </c>
      <c r="P35" s="65">
        <v>8.6960867402099424</v>
      </c>
      <c r="Q35" s="65">
        <v>72.313620565949577</v>
      </c>
      <c r="R35" s="65">
        <v>26.045982360839844</v>
      </c>
      <c r="S35" s="65">
        <v>7.7176032443241018</v>
      </c>
      <c r="T35" s="65">
        <v>96.976462965601826</v>
      </c>
      <c r="U35" s="244">
        <f t="shared" si="6"/>
        <v>31.4</v>
      </c>
      <c r="V35" s="65">
        <f t="shared" si="1"/>
        <v>13.292666666666666</v>
      </c>
      <c r="W35" s="65">
        <v>43</v>
      </c>
      <c r="X35" s="65">
        <f t="shared" si="5"/>
        <v>154.80000000000001</v>
      </c>
      <c r="Y35" s="65">
        <f t="shared" si="2"/>
        <v>1262.5</v>
      </c>
      <c r="Z35" s="65"/>
      <c r="AA35" s="151" t="s">
        <v>1113</v>
      </c>
      <c r="AB35" s="151" t="s">
        <v>1113</v>
      </c>
      <c r="AC35" s="65">
        <f t="shared" si="3"/>
        <v>0</v>
      </c>
      <c r="AD35" s="151" t="s">
        <v>1113</v>
      </c>
      <c r="AE35" s="65" t="s">
        <v>220</v>
      </c>
      <c r="AF35" s="65" t="s">
        <v>220</v>
      </c>
      <c r="AG35" s="151" t="s">
        <v>1113</v>
      </c>
      <c r="AH35" s="65" t="s">
        <v>220</v>
      </c>
      <c r="AI35" s="65" t="s">
        <v>220</v>
      </c>
      <c r="AJ35" s="65" t="s">
        <v>220</v>
      </c>
      <c r="AK35" s="65" t="s">
        <v>220</v>
      </c>
      <c r="AL35" s="65" t="s">
        <v>220</v>
      </c>
      <c r="AM35" s="65">
        <v>80.080670240491685</v>
      </c>
      <c r="AN35" s="65">
        <v>73.793859538795374</v>
      </c>
      <c r="AO35" s="65">
        <v>190.75089790375765</v>
      </c>
      <c r="AP35" s="65"/>
      <c r="AQ35" s="65"/>
      <c r="AR35" s="65">
        <v>169.8936904761905</v>
      </c>
      <c r="AS35" s="65"/>
      <c r="AT35" s="65"/>
      <c r="AU35" s="65">
        <v>55</v>
      </c>
      <c r="AV35" s="123"/>
      <c r="AW35" s="65">
        <f>IF(ISERR(IF($B35&lt;&gt;"",ROUND(_xll.PITimeDat(AW$67,$B35+20/1440,"sesaupi01","interpolated"),1),"")),"",IF($B35&lt;&gt;"",ROUND(_xll.PITimeDat(AW$67,$B35+20/1440,"sesaupi01","interpolated"),1),""))</f>
        <v>31.4</v>
      </c>
      <c r="AX35" s="65" t="s">
        <v>220</v>
      </c>
      <c r="AY35" s="65" t="s">
        <v>220</v>
      </c>
      <c r="AZ35" s="65">
        <f>IF(ISERR(IF($B35&lt;&gt;"",ROUND(_xll.PITimeDat(AZ$67,$B35+20/1440,"sesaupi01","interpolated"),1),"")),"",IF($B35&lt;&gt;"",ROUND(_xll.PITimeDat(AZ$67,$B35+20/1440,"sesaupi01","interpolated"),1),""))</f>
        <v>7.8</v>
      </c>
      <c r="BA35" s="65">
        <f>IF(ISERR(IF($B35&lt;&gt;"",ROUND(_xll.PITimeDat(BA$67,$B35+20/1440,"sesaupi01","interpolated"),1),"")),"",IF($B35&lt;&gt;"",ROUND(_xll.PITimeDat(BA$67,$B35+20/1440,"sesaupi01","interpolated"),1),""))</f>
        <v>97</v>
      </c>
      <c r="BB35" s="65" t="s">
        <v>220</v>
      </c>
      <c r="BC35" s="65" t="s">
        <v>220</v>
      </c>
      <c r="BD35" s="65" t="s">
        <v>220</v>
      </c>
      <c r="BE35" s="65" t="s">
        <v>220</v>
      </c>
      <c r="BF35" s="65" t="s">
        <v>220</v>
      </c>
      <c r="BG35" s="65">
        <f>IF(ISERR(IF($B35&lt;&gt;"",ROUND(_xll.PITimeDat(BG$67,$B35+20/1440,"sesaupi01","interpolated"),1),"")),"",IF($B35&lt;&gt;"",ROUND(_xll.PITimeDat(BG$67,$B35+20/1440,"sesaupi01","interpolated"),1),""))</f>
        <v>154.80000000000001</v>
      </c>
      <c r="BH35" s="65" t="s">
        <v>220</v>
      </c>
      <c r="BI35" s="65" t="s">
        <v>220</v>
      </c>
      <c r="BJ35" s="65" t="s">
        <v>220</v>
      </c>
      <c r="BK35" s="65" t="s">
        <v>220</v>
      </c>
      <c r="BL35" s="124"/>
      <c r="BM35" s="65">
        <f>IF(ISERR(IF($B35&lt;&gt;"",ROUND(_xll.PITimeDat(BM$67,$B35+20/1440,"sesaupi01","interpolated"),1),"")),"",IF($B35&lt;&gt;"",ROUND(_xll.PITimeDat(BM$67,$B35+20/1440,"sesaupi01","interpolated"),1),""))</f>
        <v>1262.5</v>
      </c>
      <c r="BN35" s="151">
        <v>8.708769406837888</v>
      </c>
      <c r="BO35" s="151">
        <v>96.23550154656796</v>
      </c>
      <c r="BP35" s="124"/>
      <c r="BQ35" s="65">
        <f>IF(ISERR(IF($B35&lt;&gt;"",ROUND(_xll.PITimeDat(BQ$67,$B35+20/1440,"sesaupi01","interpolated"),1),"")),"",IF($B35&lt;&gt;"",ROUND(_xll.PITimeDat(BQ$67,$B35+20/1440,"sesaupi01","interpolated"),1),""))</f>
        <v>0</v>
      </c>
      <c r="BR35" s="124"/>
      <c r="BS35" s="124"/>
    </row>
    <row r="36" spans="2:71" ht="22.5" customHeight="1" x14ac:dyDescent="0.25">
      <c r="B36" s="314">
        <f t="shared" si="4"/>
        <v>45311.708333333314</v>
      </c>
      <c r="C36" s="315"/>
      <c r="D36" s="65">
        <v>224.0170377760993</v>
      </c>
      <c r="E36" s="65">
        <v>77.691968726573165</v>
      </c>
      <c r="F36" s="65"/>
      <c r="G36" s="65">
        <v>75.609107971191406</v>
      </c>
      <c r="H36" s="65">
        <v>61.040537266806666</v>
      </c>
      <c r="I36" s="65" t="s">
        <v>220</v>
      </c>
      <c r="J36" s="65" t="s">
        <v>220</v>
      </c>
      <c r="K36" s="65" t="s">
        <v>220</v>
      </c>
      <c r="L36" s="65" t="s">
        <v>220</v>
      </c>
      <c r="M36" s="65" t="s">
        <v>220</v>
      </c>
      <c r="N36" s="65">
        <v>32.699548578155053</v>
      </c>
      <c r="O36" s="65" t="s">
        <v>220</v>
      </c>
      <c r="P36" s="65">
        <v>8.6291256068363076</v>
      </c>
      <c r="Q36" s="65">
        <v>72.253669991253091</v>
      </c>
      <c r="R36" s="65">
        <v>26.045982360839844</v>
      </c>
      <c r="S36" s="65">
        <v>7.6675869133777477</v>
      </c>
      <c r="T36" s="65">
        <v>96.992049962002199</v>
      </c>
      <c r="U36" s="65">
        <f t="shared" si="6"/>
        <v>31.9</v>
      </c>
      <c r="V36" s="65">
        <f t="shared" si="1"/>
        <v>13.504333333333333</v>
      </c>
      <c r="W36" s="65">
        <v>43</v>
      </c>
      <c r="X36" s="65">
        <f>IF(BG36&lt;&gt;"",BG36,"")</f>
        <v>154.30000000000001</v>
      </c>
      <c r="Y36" s="65">
        <f t="shared" si="2"/>
        <v>1264.4000000000001</v>
      </c>
      <c r="Z36" s="65"/>
      <c r="AA36" s="151" t="s">
        <v>1113</v>
      </c>
      <c r="AB36" s="151" t="s">
        <v>1113</v>
      </c>
      <c r="AC36" s="65">
        <f t="shared" si="3"/>
        <v>0</v>
      </c>
      <c r="AD36" s="151" t="s">
        <v>1113</v>
      </c>
      <c r="AE36" s="65" t="s">
        <v>220</v>
      </c>
      <c r="AF36" s="65" t="s">
        <v>220</v>
      </c>
      <c r="AG36" s="151" t="s">
        <v>1113</v>
      </c>
      <c r="AH36" s="65" t="s">
        <v>220</v>
      </c>
      <c r="AI36" s="65" t="s">
        <v>220</v>
      </c>
      <c r="AJ36" s="65" t="s">
        <v>220</v>
      </c>
      <c r="AK36" s="65" t="s">
        <v>220</v>
      </c>
      <c r="AL36" s="65" t="s">
        <v>220</v>
      </c>
      <c r="AM36" s="65">
        <v>80.089903473117204</v>
      </c>
      <c r="AN36" s="65">
        <v>73.77438119559568</v>
      </c>
      <c r="AO36" s="65">
        <v>190.99894898828833</v>
      </c>
      <c r="AP36" s="65"/>
      <c r="AQ36" s="65"/>
      <c r="AR36" s="65">
        <v>169.99234126984129</v>
      </c>
      <c r="AS36" s="65"/>
      <c r="AT36" s="65"/>
      <c r="AU36" s="65">
        <v>55</v>
      </c>
      <c r="AV36" s="123"/>
      <c r="AW36" s="65">
        <f>IF(ISERR(IF($B36&lt;&gt;"",ROUND(_xll.PITimeDat(AW$67,$B36+20/1440,"sesaupi01","interpolated"),1),"")),"",IF($B36&lt;&gt;"",ROUND(_xll.PITimeDat(AW$67,$B36+20/1440,"sesaupi01","interpolated"),1),""))</f>
        <v>31.9</v>
      </c>
      <c r="AX36" s="65" t="s">
        <v>220</v>
      </c>
      <c r="AY36" s="65" t="s">
        <v>220</v>
      </c>
      <c r="AZ36" s="65">
        <f>IF(ISERR(IF($B36&lt;&gt;"",ROUND(_xll.PITimeDat(AZ$67,$B36+20/1440,"sesaupi01","interpolated"),1),"")),"",IF($B36&lt;&gt;"",ROUND(_xll.PITimeDat(AZ$67,$B36+20/1440,"sesaupi01","interpolated"),1),""))</f>
        <v>7.8</v>
      </c>
      <c r="BA36" s="65">
        <f>IF(ISERR(IF($B36&lt;&gt;"",ROUND(_xll.PITimeDat(BA$67,$B36+20/1440,"sesaupi01","interpolated"),1),"")),"",IF($B36&lt;&gt;"",ROUND(_xll.PITimeDat(BA$67,$B36+20/1440,"sesaupi01","interpolated"),1),""))</f>
        <v>96.7</v>
      </c>
      <c r="BB36" s="65" t="s">
        <v>220</v>
      </c>
      <c r="BC36" s="65" t="s">
        <v>220</v>
      </c>
      <c r="BD36" s="65" t="s">
        <v>220</v>
      </c>
      <c r="BE36" s="65" t="s">
        <v>220</v>
      </c>
      <c r="BF36" s="65" t="s">
        <v>220</v>
      </c>
      <c r="BG36" s="65">
        <f>IF(ISERR(IF($B36&lt;&gt;"",ROUND(_xll.PITimeDat(BG$67,$B36+20/1440,"sesaupi01","interpolated"),1),"")),"",IF($B36&lt;&gt;"",ROUND(_xll.PITimeDat(BG$67,$B36+20/1440,"sesaupi01","interpolated"),1),""))</f>
        <v>154.30000000000001</v>
      </c>
      <c r="BH36" s="65" t="s">
        <v>220</v>
      </c>
      <c r="BI36" s="65" t="s">
        <v>220</v>
      </c>
      <c r="BJ36" s="65" t="s">
        <v>220</v>
      </c>
      <c r="BK36" s="65" t="s">
        <v>220</v>
      </c>
      <c r="BL36" s="124"/>
      <c r="BM36" s="65">
        <f>IF(ISERR(IF($B36&lt;&gt;"",ROUND(_xll.PITimeDat(BM$67,$B36+20/1440,"sesaupi01","interpolated"),1),"")),"",IF($B36&lt;&gt;"",ROUND(_xll.PITimeDat(BM$67,$B36+20/1440,"sesaupi01","interpolated"),1),""))</f>
        <v>1264.4000000000001</v>
      </c>
      <c r="BN36" s="151">
        <v>8.6631793945277185</v>
      </c>
      <c r="BO36" s="151">
        <v>96.146082044706731</v>
      </c>
      <c r="BP36" s="124"/>
      <c r="BQ36" s="65">
        <f>IF(ISERR(IF($B36&lt;&gt;"",ROUND(_xll.PITimeDat(BQ$67,$B36+20/1440,"sesaupi01","interpolated"),1),"")),"",IF($B36&lt;&gt;"",ROUND(_xll.PITimeDat(BQ$67,$B36+20/1440,"sesaupi01","interpolated"),1),""))</f>
        <v>0</v>
      </c>
      <c r="BR36" s="124"/>
      <c r="BS36" s="124"/>
    </row>
    <row r="37" spans="2:71" ht="22.5" customHeight="1" x14ac:dyDescent="0.25">
      <c r="B37" s="314">
        <f t="shared" ref="B37:B52" si="7">IF(B36&lt;&gt;"",IF(B36+1/24&lt;=$M$7,B36+1/24,""),"")</f>
        <v>45311.749999999978</v>
      </c>
      <c r="C37" s="315"/>
      <c r="D37" s="65">
        <v>224.03129723474714</v>
      </c>
      <c r="E37" s="65">
        <v>77.691865314386504</v>
      </c>
      <c r="F37" s="65"/>
      <c r="G37" s="65">
        <v>75.609107971191406</v>
      </c>
      <c r="H37" s="65">
        <v>60.599380187480193</v>
      </c>
      <c r="I37" s="65" t="s">
        <v>220</v>
      </c>
      <c r="J37" s="65" t="s">
        <v>220</v>
      </c>
      <c r="K37" s="65" t="s">
        <v>220</v>
      </c>
      <c r="L37" s="65" t="s">
        <v>220</v>
      </c>
      <c r="M37" s="65" t="s">
        <v>220</v>
      </c>
      <c r="N37" s="65">
        <v>32.813990929306222</v>
      </c>
      <c r="O37" s="65" t="s">
        <v>220</v>
      </c>
      <c r="P37" s="65">
        <v>8.4283305688202379</v>
      </c>
      <c r="Q37" s="65">
        <v>72.193719416556604</v>
      </c>
      <c r="R37" s="65">
        <v>26.045982360839844</v>
      </c>
      <c r="S37" s="65">
        <v>7.46189676961112</v>
      </c>
      <c r="T37" s="65">
        <v>96.716361449090286</v>
      </c>
      <c r="U37" s="65">
        <f t="shared" si="6"/>
        <v>35.200000000000003</v>
      </c>
      <c r="V37" s="65">
        <f t="shared" si="1"/>
        <v>14.901333333333335</v>
      </c>
      <c r="W37" s="65"/>
      <c r="X37" s="65">
        <f t="shared" si="5"/>
        <v>150.9</v>
      </c>
      <c r="Y37" s="65">
        <f t="shared" si="2"/>
        <v>1264.0999999999999</v>
      </c>
      <c r="Z37" s="65"/>
      <c r="AA37" s="151" t="s">
        <v>1113</v>
      </c>
      <c r="AB37" s="151" t="s">
        <v>1113</v>
      </c>
      <c r="AC37" s="65">
        <f t="shared" si="3"/>
        <v>0</v>
      </c>
      <c r="AD37" s="151" t="s">
        <v>1113</v>
      </c>
      <c r="AE37" s="65" t="s">
        <v>220</v>
      </c>
      <c r="AF37" s="65" t="s">
        <v>220</v>
      </c>
      <c r="AG37" s="151" t="s">
        <v>1113</v>
      </c>
      <c r="AH37" s="65" t="s">
        <v>220</v>
      </c>
      <c r="AI37" s="65" t="s">
        <v>220</v>
      </c>
      <c r="AJ37" s="65" t="s">
        <v>220</v>
      </c>
      <c r="AK37" s="65" t="s">
        <v>220</v>
      </c>
      <c r="AL37" s="65" t="s">
        <v>220</v>
      </c>
      <c r="AM37" s="65">
        <v>80.098373219996063</v>
      </c>
      <c r="AN37" s="65">
        <v>73.754442007920886</v>
      </c>
      <c r="AO37" s="65">
        <v>191.13144033262466</v>
      </c>
      <c r="AP37" s="65"/>
      <c r="AQ37" s="65"/>
      <c r="AR37" s="65">
        <v>170.02672222222222</v>
      </c>
      <c r="AS37" s="65"/>
      <c r="AT37" s="65"/>
      <c r="AU37" s="65">
        <v>55</v>
      </c>
      <c r="AV37" s="123"/>
      <c r="AW37" s="65">
        <f>IF(ISERR(IF($B37&lt;&gt;"",ROUND(_xll.PITimeDat(AW$67,$B37+20/1440,"sesaupi01","interpolated"),1),"")),"",IF($B37&lt;&gt;"",ROUND(_xll.PITimeDat(AW$67,$B37+20/1440,"sesaupi01","interpolated"),1),""))</f>
        <v>35.200000000000003</v>
      </c>
      <c r="AX37" s="65" t="s">
        <v>220</v>
      </c>
      <c r="AY37" s="65" t="s">
        <v>220</v>
      </c>
      <c r="AZ37" s="65">
        <f>IF(ISERR(IF($B37&lt;&gt;"",ROUND(_xll.PITimeDat(AZ$67,$B37+20/1440,"sesaupi01","interpolated"),1),"")),"",IF($B37&lt;&gt;"",ROUND(_xll.PITimeDat(AZ$67,$B37+20/1440,"sesaupi01","interpolated"),1),""))</f>
        <v>7.5</v>
      </c>
      <c r="BA37" s="65">
        <f>IF(ISERR(IF($B37&lt;&gt;"",ROUND(_xll.PITimeDat(BA$67,$B37+20/1440,"sesaupi01","interpolated"),1),"")),"",IF($B37&lt;&gt;"",ROUND(_xll.PITimeDat(BA$67,$B37+20/1440,"sesaupi01","interpolated"),1),""))</f>
        <v>97</v>
      </c>
      <c r="BB37" s="65" t="s">
        <v>220</v>
      </c>
      <c r="BC37" s="65" t="s">
        <v>220</v>
      </c>
      <c r="BD37" s="65" t="s">
        <v>220</v>
      </c>
      <c r="BE37" s="65" t="s">
        <v>220</v>
      </c>
      <c r="BF37" s="65" t="s">
        <v>220</v>
      </c>
      <c r="BG37" s="65">
        <f>IF(ISERR(IF($B37&lt;&gt;"",ROUND(_xll.PITimeDat(BG$67,$B37+20/1440,"sesaupi01","interpolated"),1),"")),"",IF($B37&lt;&gt;"",ROUND(_xll.PITimeDat(BG$67,$B37+20/1440,"sesaupi01","interpolated"),1),""))</f>
        <v>150.9</v>
      </c>
      <c r="BH37" s="65" t="s">
        <v>220</v>
      </c>
      <c r="BI37" s="65" t="s">
        <v>220</v>
      </c>
      <c r="BJ37" s="65" t="s">
        <v>220</v>
      </c>
      <c r="BK37" s="65" t="s">
        <v>220</v>
      </c>
      <c r="BL37" s="124"/>
      <c r="BM37" s="65">
        <f>IF(ISERR(IF($B37&lt;&gt;"",ROUND(_xll.PITimeDat(BM$67,$B37+20/1440,"sesaupi01","interpolated"),1),"")),"",IF($B37&lt;&gt;"",ROUND(_xll.PITimeDat(BM$67,$B37+20/1440,"sesaupi01","interpolated"),1),""))</f>
        <v>1264.0999999999999</v>
      </c>
      <c r="BN37" s="151">
        <v>8.4544138808338722</v>
      </c>
      <c r="BO37" s="151">
        <v>95.923200552848144</v>
      </c>
      <c r="BP37" s="124"/>
      <c r="BQ37" s="65">
        <f>IF(ISERR(IF($B37&lt;&gt;"",ROUND(_xll.PITimeDat(BQ$67,$B37+20/1440,"sesaupi01","interpolated"),1),"")),"",IF($B37&lt;&gt;"",ROUND(_xll.PITimeDat(BQ$67,$B37+20/1440,"sesaupi01","interpolated"),1),""))</f>
        <v>0</v>
      </c>
      <c r="BR37" s="124"/>
      <c r="BS37" s="124"/>
    </row>
    <row r="38" spans="2:71" ht="22.5" customHeight="1" x14ac:dyDescent="0.25">
      <c r="B38" s="314">
        <f t="shared" si="7"/>
        <v>45311.791666666642</v>
      </c>
      <c r="C38" s="315"/>
      <c r="D38" s="65">
        <v>224.04388994172089</v>
      </c>
      <c r="E38" s="65">
        <v>77.691876877749408</v>
      </c>
      <c r="F38" s="65"/>
      <c r="G38" s="65">
        <v>75.609107971191406</v>
      </c>
      <c r="H38" s="65">
        <v>61.543508296401413</v>
      </c>
      <c r="I38" s="65" t="s">
        <v>220</v>
      </c>
      <c r="J38" s="65" t="s">
        <v>220</v>
      </c>
      <c r="K38" s="65" t="s">
        <v>220</v>
      </c>
      <c r="L38" s="65" t="s">
        <v>220</v>
      </c>
      <c r="M38" s="65" t="s">
        <v>220</v>
      </c>
      <c r="N38" s="65">
        <v>32.910885640138659</v>
      </c>
      <c r="O38" s="65" t="s">
        <v>220</v>
      </c>
      <c r="P38" s="65">
        <v>8.5718102305654504</v>
      </c>
      <c r="Q38" s="65">
        <v>72.133768841860103</v>
      </c>
      <c r="R38" s="65">
        <v>26.045982360839844</v>
      </c>
      <c r="S38" s="65">
        <v>7.5970675303659059</v>
      </c>
      <c r="T38" s="65">
        <v>97.019767436899826</v>
      </c>
      <c r="U38" s="65">
        <f t="shared" si="6"/>
        <v>32.6</v>
      </c>
      <c r="V38" s="65">
        <f t="shared" si="1"/>
        <v>13.800666666666668</v>
      </c>
      <c r="W38" s="65"/>
      <c r="X38" s="65">
        <f t="shared" si="5"/>
        <v>153.19999999999999</v>
      </c>
      <c r="Y38" s="65">
        <f t="shared" si="2"/>
        <v>1244.9000000000001</v>
      </c>
      <c r="Z38" s="65"/>
      <c r="AA38" s="151" t="s">
        <v>1113</v>
      </c>
      <c r="AB38" s="151" t="s">
        <v>1113</v>
      </c>
      <c r="AC38" s="65">
        <f t="shared" si="3"/>
        <v>0</v>
      </c>
      <c r="AD38" s="151" t="s">
        <v>1113</v>
      </c>
      <c r="AE38" s="65" t="s">
        <v>220</v>
      </c>
      <c r="AF38" s="65" t="s">
        <v>220</v>
      </c>
      <c r="AG38" s="151" t="s">
        <v>1113</v>
      </c>
      <c r="AH38" s="65" t="s">
        <v>220</v>
      </c>
      <c r="AI38" s="65" t="s">
        <v>220</v>
      </c>
      <c r="AJ38" s="65" t="s">
        <v>220</v>
      </c>
      <c r="AK38" s="65" t="s">
        <v>220</v>
      </c>
      <c r="AL38" s="65" t="s">
        <v>220</v>
      </c>
      <c r="AM38" s="65">
        <v>80.099998474121094</v>
      </c>
      <c r="AN38" s="65">
        <v>73.734502820246092</v>
      </c>
      <c r="AO38" s="65">
        <v>191.33010571019335</v>
      </c>
      <c r="AP38" s="65"/>
      <c r="AQ38" s="65"/>
      <c r="AR38" s="65">
        <v>169.99854761904763</v>
      </c>
      <c r="AS38" s="65"/>
      <c r="AT38" s="65"/>
      <c r="AU38" s="65">
        <v>55</v>
      </c>
      <c r="AV38" s="123"/>
      <c r="AW38" s="65">
        <f>IF(ISERR(IF($B38&lt;&gt;"",ROUND(_xll.PITimeDat(AW$67,$B38+20/1440,"sesaupi01","interpolated"),1),"")),"",IF($B38&lt;&gt;"",ROUND(_xll.PITimeDat(AW$67,$B38+20/1440,"sesaupi01","interpolated"),1),""))</f>
        <v>32.6</v>
      </c>
      <c r="AX38" s="65" t="s">
        <v>220</v>
      </c>
      <c r="AY38" s="65" t="s">
        <v>220</v>
      </c>
      <c r="AZ38" s="65">
        <f>IF(ISERR(IF($B38&lt;&gt;"",ROUND(_xll.PITimeDat(AZ$67,$B38+20/1440,"sesaupi01","interpolated"),1),"")),"",IF($B38&lt;&gt;"",ROUND(_xll.PITimeDat(AZ$67,$B38+20/1440,"sesaupi01","interpolated"),1),""))</f>
        <v>7.7</v>
      </c>
      <c r="BA38" s="65">
        <f>IF(ISERR(IF($B38&lt;&gt;"",ROUND(_xll.PITimeDat(BA$67,$B38+20/1440,"sesaupi01","interpolated"),1),"")),"",IF($B38&lt;&gt;"",ROUND(_xll.PITimeDat(BA$67,$B38+20/1440,"sesaupi01","interpolated"),1),""))</f>
        <v>96.8</v>
      </c>
      <c r="BB38" s="65" t="s">
        <v>220</v>
      </c>
      <c r="BC38" s="65" t="s">
        <v>220</v>
      </c>
      <c r="BD38" s="65" t="s">
        <v>220</v>
      </c>
      <c r="BE38" s="65" t="s">
        <v>220</v>
      </c>
      <c r="BF38" s="65" t="s">
        <v>220</v>
      </c>
      <c r="BG38" s="65">
        <f>IF(ISERR(IF($B38&lt;&gt;"",ROUND(_xll.PITimeDat(BG$67,$B38+20/1440,"sesaupi01","interpolated"),1),"")),"",IF($B38&lt;&gt;"",ROUND(_xll.PITimeDat(BG$67,$B38+20/1440,"sesaupi01","interpolated"),1),""))</f>
        <v>153.19999999999999</v>
      </c>
      <c r="BH38" s="65" t="s">
        <v>220</v>
      </c>
      <c r="BI38" s="65" t="s">
        <v>220</v>
      </c>
      <c r="BJ38" s="65" t="s">
        <v>220</v>
      </c>
      <c r="BK38" s="65" t="s">
        <v>220</v>
      </c>
      <c r="BL38" s="124"/>
      <c r="BM38" s="65">
        <f>IF(ISERR(IF($B38&lt;&gt;"",ROUND(_xll.PITimeDat(BM$67,$B38+20/1440,"sesaupi01","interpolated"),1),"")),"",IF($B38&lt;&gt;"",ROUND(_xll.PITimeDat(BM$67,$B38+20/1440,"sesaupi01","interpolated"),1),""))</f>
        <v>1244.9000000000001</v>
      </c>
      <c r="BN38" s="151">
        <v>8.5984571314652758</v>
      </c>
      <c r="BO38" s="151">
        <v>95.621755096513979</v>
      </c>
      <c r="BP38" s="124"/>
      <c r="BQ38" s="65">
        <f>IF(ISERR(IF($B38&lt;&gt;"",ROUND(_xll.PITimeDat(BQ$67,$B38+20/1440,"sesaupi01","interpolated"),1),"")),"",IF($B38&lt;&gt;"",ROUND(_xll.PITimeDat(BQ$67,$B38+20/1440,"sesaupi01","interpolated"),1),""))</f>
        <v>0</v>
      </c>
      <c r="BR38" s="124"/>
      <c r="BS38" s="124"/>
    </row>
    <row r="39" spans="2:71" ht="22.5" customHeight="1" x14ac:dyDescent="0.25">
      <c r="B39" s="314" t="str">
        <f t="shared" si="7"/>
        <v/>
      </c>
      <c r="C39" s="315"/>
      <c r="D39" s="65"/>
      <c r="E39" s="65"/>
      <c r="F39" s="65"/>
      <c r="G39" s="65"/>
      <c r="H39" s="65"/>
      <c r="I39" s="65" t="s">
        <v>220</v>
      </c>
      <c r="J39" s="65" t="s">
        <v>220</v>
      </c>
      <c r="K39" s="65" t="s">
        <v>220</v>
      </c>
      <c r="L39" s="65" t="s">
        <v>220</v>
      </c>
      <c r="M39" s="65" t="s">
        <v>220</v>
      </c>
      <c r="N39" s="65"/>
      <c r="O39" s="65" t="s">
        <v>220</v>
      </c>
      <c r="P39" s="65"/>
      <c r="Q39" s="65"/>
      <c r="R39" s="65"/>
      <c r="S39" s="65"/>
      <c r="T39" s="65"/>
      <c r="U39" s="65" t="str">
        <f t="shared" si="6"/>
        <v/>
      </c>
      <c r="V39" s="65" t="str">
        <f t="shared" si="1"/>
        <v/>
      </c>
      <c r="W39" s="65"/>
      <c r="X39" s="65" t="str">
        <f t="shared" si="5"/>
        <v/>
      </c>
      <c r="Y39" s="65" t="str">
        <f t="shared" si="2"/>
        <v/>
      </c>
      <c r="Z39" s="65"/>
      <c r="AA39" s="151"/>
      <c r="AB39" s="151"/>
      <c r="AC39" s="65" t="str">
        <f t="shared" si="3"/>
        <v/>
      </c>
      <c r="AD39" s="151"/>
      <c r="AE39" s="65" t="s">
        <v>220</v>
      </c>
      <c r="AF39" s="65" t="s">
        <v>220</v>
      </c>
      <c r="AG39" s="151"/>
      <c r="AH39" s="65" t="s">
        <v>220</v>
      </c>
      <c r="AI39" s="65" t="s">
        <v>220</v>
      </c>
      <c r="AJ39" s="65" t="s">
        <v>220</v>
      </c>
      <c r="AK39" s="65" t="s">
        <v>220</v>
      </c>
      <c r="AL39" s="65" t="s">
        <v>220</v>
      </c>
      <c r="AM39" s="65"/>
      <c r="AN39" s="65"/>
      <c r="AO39" s="65"/>
      <c r="AP39" s="65"/>
      <c r="AQ39" s="65"/>
      <c r="AR39" s="65"/>
      <c r="AS39" s="65"/>
      <c r="AT39" s="65"/>
      <c r="AU39" s="65"/>
      <c r="AV39" s="123"/>
      <c r="AW39" s="65" t="str">
        <f>IF(ISERR(IF($B39&lt;&gt;"",ROUND(_xll.PITimeDat(AW$67,$B39+20/1440,"sesaupi01","interpolated"),1),"")),"",IF($B39&lt;&gt;"",ROUND(_xll.PITimeDat(AW$67,$B39+20/1440,"sesaupi01","interpolated"),1),""))</f>
        <v/>
      </c>
      <c r="AX39" s="65" t="s">
        <v>220</v>
      </c>
      <c r="AY39" s="65" t="s">
        <v>220</v>
      </c>
      <c r="AZ39" s="65" t="str">
        <f>IF(ISERR(IF($B39&lt;&gt;"",ROUND(_xll.PITimeDat(AZ$67,$B39+20/1440,"sesaupi01","interpolated"),1),"")),"",IF($B39&lt;&gt;"",ROUND(_xll.PITimeDat(AZ$67,$B39+20/1440,"sesaupi01","interpolated"),1),""))</f>
        <v/>
      </c>
      <c r="BA39" s="65" t="str">
        <f>IF(ISERR(IF($B39&lt;&gt;"",ROUND(_xll.PITimeDat(BA$67,$B39+20/1440,"sesaupi01","interpolated"),1),"")),"",IF($B39&lt;&gt;"",ROUND(_xll.PITimeDat(BA$67,$B39+20/1440,"sesaupi01","interpolated"),1),""))</f>
        <v/>
      </c>
      <c r="BB39" s="65" t="s">
        <v>220</v>
      </c>
      <c r="BC39" s="65" t="s">
        <v>220</v>
      </c>
      <c r="BD39" s="65" t="s">
        <v>220</v>
      </c>
      <c r="BE39" s="65" t="s">
        <v>220</v>
      </c>
      <c r="BF39" s="65" t="s">
        <v>220</v>
      </c>
      <c r="BG39" s="65" t="str">
        <f>IF(ISERR(IF($B39&lt;&gt;"",ROUND(_xll.PITimeDat(BG$67,$B39+20/1440,"sesaupi01","interpolated"),1),"")),"",IF($B39&lt;&gt;"",ROUND(_xll.PITimeDat(BG$67,$B39+20/1440,"sesaupi01","interpolated"),1),""))</f>
        <v/>
      </c>
      <c r="BH39" s="65" t="s">
        <v>220</v>
      </c>
      <c r="BI39" s="65" t="s">
        <v>220</v>
      </c>
      <c r="BJ39" s="65" t="s">
        <v>220</v>
      </c>
      <c r="BK39" s="65" t="s">
        <v>220</v>
      </c>
      <c r="BL39" s="124"/>
      <c r="BM39" s="65" t="str">
        <f>IF(ISERR(IF($B39&lt;&gt;"",ROUND(_xll.PITimeDat(BM$67,$B39+20/1440,"sesaupi01","interpolated"),1),"")),"",IF($B39&lt;&gt;"",ROUND(_xll.PITimeDat(BM$67,$B39+20/1440,"sesaupi01","interpolated"),1),""))</f>
        <v/>
      </c>
      <c r="BN39" s="151"/>
      <c r="BO39" s="151"/>
      <c r="BP39" s="124"/>
      <c r="BQ39" s="65" t="str">
        <f>IF(ISERR(IF($B39&lt;&gt;"",ROUND(_xll.PITimeDat(BQ$67,$B39+20/1440,"sesaupi01","interpolated"),1),"")),"",IF($B39&lt;&gt;"",ROUND(_xll.PITimeDat(BQ$67,$B39+20/1440,"sesaupi01","interpolated"),1),""))</f>
        <v/>
      </c>
      <c r="BR39" s="124"/>
      <c r="BS39" s="124"/>
    </row>
    <row r="40" spans="2:71" ht="22.5" customHeight="1" x14ac:dyDescent="0.25">
      <c r="B40" s="314" t="str">
        <f t="shared" si="7"/>
        <v/>
      </c>
      <c r="C40" s="315"/>
      <c r="D40" s="65"/>
      <c r="E40" s="65"/>
      <c r="F40" s="65"/>
      <c r="G40" s="65"/>
      <c r="H40" s="65"/>
      <c r="I40" s="65" t="s">
        <v>220</v>
      </c>
      <c r="J40" s="65" t="s">
        <v>220</v>
      </c>
      <c r="K40" s="65" t="s">
        <v>220</v>
      </c>
      <c r="L40" s="65" t="s">
        <v>220</v>
      </c>
      <c r="M40" s="65" t="s">
        <v>220</v>
      </c>
      <c r="N40" s="65"/>
      <c r="O40" s="65" t="s">
        <v>220</v>
      </c>
      <c r="P40" s="65"/>
      <c r="Q40" s="65"/>
      <c r="R40" s="65"/>
      <c r="S40" s="65"/>
      <c r="T40" s="65"/>
      <c r="U40" s="65" t="str">
        <f t="shared" si="0"/>
        <v/>
      </c>
      <c r="V40" s="65" t="str">
        <f t="shared" si="1"/>
        <v/>
      </c>
      <c r="W40" s="65"/>
      <c r="X40" s="65" t="str">
        <f t="shared" si="5"/>
        <v/>
      </c>
      <c r="Y40" s="65" t="str">
        <f t="shared" si="2"/>
        <v/>
      </c>
      <c r="Z40" s="65"/>
      <c r="AA40" s="151"/>
      <c r="AB40" s="151"/>
      <c r="AC40" s="65" t="str">
        <f t="shared" si="3"/>
        <v/>
      </c>
      <c r="AD40" s="151"/>
      <c r="AE40" s="65" t="s">
        <v>220</v>
      </c>
      <c r="AF40" s="65" t="s">
        <v>220</v>
      </c>
      <c r="AG40" s="151"/>
      <c r="AH40" s="65" t="s">
        <v>220</v>
      </c>
      <c r="AI40" s="65" t="s">
        <v>220</v>
      </c>
      <c r="AJ40" s="65" t="s">
        <v>220</v>
      </c>
      <c r="AK40" s="65" t="s">
        <v>220</v>
      </c>
      <c r="AL40" s="65" t="s">
        <v>220</v>
      </c>
      <c r="AM40" s="65"/>
      <c r="AN40" s="65"/>
      <c r="AO40" s="65"/>
      <c r="AP40" s="65"/>
      <c r="AQ40" s="65"/>
      <c r="AR40" s="65"/>
      <c r="AS40" s="65"/>
      <c r="AT40" s="65"/>
      <c r="AU40" s="65"/>
      <c r="AV40" s="123"/>
      <c r="AW40" s="65" t="str">
        <f>IF(ISERR(IF($B40&lt;&gt;"",ROUND(_xll.PITimeDat(AW$67,$B40+20/1440,"sesaupi01","interpolated"),1),"")),"",IF($B40&lt;&gt;"",ROUND(_xll.PITimeDat(AW$67,$B40+20/1440,"sesaupi01","interpolated"),1),""))</f>
        <v/>
      </c>
      <c r="AX40" s="65" t="s">
        <v>220</v>
      </c>
      <c r="AY40" s="65" t="s">
        <v>220</v>
      </c>
      <c r="AZ40" s="65" t="str">
        <f>IF(ISERR(IF($B40&lt;&gt;"",ROUND(_xll.PITimeDat(AZ$67,$B40+20/1440,"sesaupi01","interpolated"),1),"")),"",IF($B40&lt;&gt;"",ROUND(_xll.PITimeDat(AZ$67,$B40+20/1440,"sesaupi01","interpolated"),1),""))</f>
        <v/>
      </c>
      <c r="BA40" s="65" t="str">
        <f>IF(ISERR(IF($B40&lt;&gt;"",ROUND(_xll.PITimeDat(BA$67,$B40+20/1440,"sesaupi01","interpolated"),1),"")),"",IF($B40&lt;&gt;"",ROUND(_xll.PITimeDat(BA$67,$B40+20/1440,"sesaupi01","interpolated"),1),""))</f>
        <v/>
      </c>
      <c r="BB40" s="65" t="s">
        <v>220</v>
      </c>
      <c r="BC40" s="65" t="s">
        <v>220</v>
      </c>
      <c r="BD40" s="65" t="s">
        <v>220</v>
      </c>
      <c r="BE40" s="65" t="s">
        <v>220</v>
      </c>
      <c r="BF40" s="65" t="s">
        <v>220</v>
      </c>
      <c r="BG40" s="65" t="str">
        <f>IF(ISERR(IF($B40&lt;&gt;"",ROUND(_xll.PITimeDat(BG$67,$B40+20/1440,"sesaupi01","interpolated"),1),"")),"",IF($B40&lt;&gt;"",ROUND(_xll.PITimeDat(BG$67,$B40+20/1440,"sesaupi01","interpolated"),1),""))</f>
        <v/>
      </c>
      <c r="BH40" s="65" t="s">
        <v>220</v>
      </c>
      <c r="BI40" s="65" t="s">
        <v>220</v>
      </c>
      <c r="BJ40" s="65" t="s">
        <v>220</v>
      </c>
      <c r="BK40" s="65" t="s">
        <v>220</v>
      </c>
      <c r="BL40" s="124"/>
      <c r="BM40" s="65" t="str">
        <f>IF(ISERR(IF($B40&lt;&gt;"",ROUND(_xll.PITimeDat(BM$67,$B40+20/1440,"sesaupi01","interpolated"),1),"")),"",IF($B40&lt;&gt;"",ROUND(_xll.PITimeDat(BM$67,$B40+20/1440,"sesaupi01","interpolated"),1),""))</f>
        <v/>
      </c>
      <c r="BN40" s="151"/>
      <c r="BO40" s="151"/>
      <c r="BP40" s="124"/>
      <c r="BQ40" s="65" t="str">
        <f>IF(ISERR(IF($B40&lt;&gt;"",ROUND(_xll.PITimeDat(BQ$67,$B40+20/1440,"sesaupi01","interpolated"),1),"")),"",IF($B40&lt;&gt;"",ROUND(_xll.PITimeDat(BQ$67,$B40+20/1440,"sesaupi01","interpolated"),1),""))</f>
        <v/>
      </c>
      <c r="BR40" s="124"/>
      <c r="BS40" s="124"/>
    </row>
    <row r="41" spans="2:71" ht="22.5" customHeight="1" x14ac:dyDescent="0.25">
      <c r="B41" s="314" t="str">
        <f t="shared" si="7"/>
        <v/>
      </c>
      <c r="C41" s="315"/>
      <c r="D41" s="65"/>
      <c r="E41" s="65"/>
      <c r="F41" s="65"/>
      <c r="G41" s="65"/>
      <c r="H41" s="65"/>
      <c r="I41" s="65" t="s">
        <v>220</v>
      </c>
      <c r="J41" s="65" t="s">
        <v>220</v>
      </c>
      <c r="K41" s="65" t="s">
        <v>220</v>
      </c>
      <c r="L41" s="65" t="s">
        <v>220</v>
      </c>
      <c r="M41" s="65" t="s">
        <v>220</v>
      </c>
      <c r="N41" s="65"/>
      <c r="O41" s="65" t="s">
        <v>220</v>
      </c>
      <c r="P41" s="65"/>
      <c r="Q41" s="65"/>
      <c r="R41" s="65"/>
      <c r="S41" s="65"/>
      <c r="T41" s="65"/>
      <c r="U41" s="65" t="str">
        <f t="shared" si="0"/>
        <v/>
      </c>
      <c r="V41" s="65" t="str">
        <f t="shared" si="1"/>
        <v/>
      </c>
      <c r="W41" s="65"/>
      <c r="X41" s="65" t="str">
        <f t="shared" si="5"/>
        <v/>
      </c>
      <c r="Y41" s="65" t="str">
        <f t="shared" si="2"/>
        <v/>
      </c>
      <c r="Z41" s="65"/>
      <c r="AA41" s="151"/>
      <c r="AB41" s="151"/>
      <c r="AC41" s="65" t="str">
        <f t="shared" si="3"/>
        <v/>
      </c>
      <c r="AD41" s="151"/>
      <c r="AE41" s="65" t="s">
        <v>220</v>
      </c>
      <c r="AF41" s="65" t="s">
        <v>220</v>
      </c>
      <c r="AG41" s="151"/>
      <c r="AH41" s="65" t="s">
        <v>220</v>
      </c>
      <c r="AI41" s="65" t="s">
        <v>220</v>
      </c>
      <c r="AJ41" s="65" t="s">
        <v>220</v>
      </c>
      <c r="AK41" s="65" t="s">
        <v>220</v>
      </c>
      <c r="AL41" s="65" t="s">
        <v>220</v>
      </c>
      <c r="AM41" s="65"/>
      <c r="AN41" s="65"/>
      <c r="AO41" s="65"/>
      <c r="AP41" s="65"/>
      <c r="AQ41" s="65"/>
      <c r="AR41" s="65"/>
      <c r="AS41" s="65"/>
      <c r="AT41" s="65"/>
      <c r="AU41" s="65"/>
      <c r="AV41" s="123"/>
      <c r="AW41" s="65" t="str">
        <f>IF(ISERR(IF($B41&lt;&gt;"",ROUND(_xll.PITimeDat(AW$67,$B41+20/1440,"sesaupi01","interpolated"),1),"")),"",IF($B41&lt;&gt;"",ROUND(_xll.PITimeDat(AW$67,$B41+20/1440,"sesaupi01","interpolated"),1),""))</f>
        <v/>
      </c>
      <c r="AX41" s="65" t="s">
        <v>220</v>
      </c>
      <c r="AY41" s="65" t="s">
        <v>220</v>
      </c>
      <c r="AZ41" s="65" t="str">
        <f>IF(ISERR(IF($B41&lt;&gt;"",ROUND(_xll.PITimeDat(AZ$67,$B41+20/1440,"sesaupi01","interpolated"),1),"")),"",IF($B41&lt;&gt;"",ROUND(_xll.PITimeDat(AZ$67,$B41+20/1440,"sesaupi01","interpolated"),1),""))</f>
        <v/>
      </c>
      <c r="BA41" s="65" t="str">
        <f>IF(ISERR(IF($B41&lt;&gt;"",ROUND(_xll.PITimeDat(BA$67,$B41+20/1440,"sesaupi01","interpolated"),1),"")),"",IF($B41&lt;&gt;"",ROUND(_xll.PITimeDat(BA$67,$B41+20/1440,"sesaupi01","interpolated"),1),""))</f>
        <v/>
      </c>
      <c r="BB41" s="65" t="s">
        <v>220</v>
      </c>
      <c r="BC41" s="65" t="s">
        <v>220</v>
      </c>
      <c r="BD41" s="65" t="s">
        <v>220</v>
      </c>
      <c r="BE41" s="65" t="s">
        <v>220</v>
      </c>
      <c r="BF41" s="65" t="s">
        <v>220</v>
      </c>
      <c r="BG41" s="65" t="str">
        <f>IF(ISERR(IF($B41&lt;&gt;"",ROUND(_xll.PITimeDat(BG$67,$B41+20/1440,"sesaupi01","interpolated"),1),"")),"",IF($B41&lt;&gt;"",ROUND(_xll.PITimeDat(BG$67,$B41+20/1440,"sesaupi01","interpolated"),1),""))</f>
        <v/>
      </c>
      <c r="BH41" s="65" t="s">
        <v>220</v>
      </c>
      <c r="BI41" s="65" t="s">
        <v>220</v>
      </c>
      <c r="BJ41" s="65" t="s">
        <v>220</v>
      </c>
      <c r="BK41" s="65" t="s">
        <v>220</v>
      </c>
      <c r="BL41" s="124"/>
      <c r="BM41" s="65" t="str">
        <f>IF(ISERR(IF($B41&lt;&gt;"",ROUND(_xll.PITimeDat(BM$67,$B41+20/1440,"sesaupi01","interpolated"),1),"")),"",IF($B41&lt;&gt;"",ROUND(_xll.PITimeDat(BM$67,$B41+20/1440,"sesaupi01","interpolated"),1),""))</f>
        <v/>
      </c>
      <c r="BN41" s="151"/>
      <c r="BO41" s="151"/>
      <c r="BP41" s="124"/>
      <c r="BQ41" s="65" t="str">
        <f>IF(ISERR(IF($B41&lt;&gt;"",ROUND(_xll.PITimeDat(BQ$67,$B41+20/1440,"sesaupi01","interpolated"),1),"")),"",IF($B41&lt;&gt;"",ROUND(_xll.PITimeDat(BQ$67,$B41+20/1440,"sesaupi01","interpolated"),1),""))</f>
        <v/>
      </c>
      <c r="BR41" s="124"/>
      <c r="BS41" s="124"/>
    </row>
    <row r="42" spans="2:71" ht="22.5" customHeight="1" x14ac:dyDescent="0.25">
      <c r="B42" s="314" t="str">
        <f t="shared" si="7"/>
        <v/>
      </c>
      <c r="C42" s="315"/>
      <c r="D42" s="65"/>
      <c r="E42" s="65"/>
      <c r="F42" s="65"/>
      <c r="G42" s="65"/>
      <c r="H42" s="65"/>
      <c r="I42" s="65" t="s">
        <v>220</v>
      </c>
      <c r="J42" s="65" t="s">
        <v>220</v>
      </c>
      <c r="K42" s="65" t="s">
        <v>220</v>
      </c>
      <c r="L42" s="65" t="s">
        <v>220</v>
      </c>
      <c r="M42" s="65" t="s">
        <v>220</v>
      </c>
      <c r="N42" s="65"/>
      <c r="O42" s="65" t="s">
        <v>220</v>
      </c>
      <c r="P42" s="65"/>
      <c r="Q42" s="65"/>
      <c r="R42" s="65"/>
      <c r="S42" s="65"/>
      <c r="T42" s="65"/>
      <c r="U42" s="65" t="str">
        <f>AW42</f>
        <v/>
      </c>
      <c r="V42" s="65" t="str">
        <f>IF(AW42="","",AW42*($W$53/100))</f>
        <v/>
      </c>
      <c r="W42" s="65"/>
      <c r="X42" s="65" t="str">
        <f>IF(BG42&lt;&gt;"",BG42,"")</f>
        <v/>
      </c>
      <c r="Y42" s="65" t="str">
        <f>BM42</f>
        <v/>
      </c>
      <c r="Z42" s="65"/>
      <c r="AA42" s="151"/>
      <c r="AB42" s="151"/>
      <c r="AC42" s="65" t="str">
        <f t="shared" si="3"/>
        <v/>
      </c>
      <c r="AD42" s="151"/>
      <c r="AE42" s="65" t="s">
        <v>220</v>
      </c>
      <c r="AF42" s="65" t="s">
        <v>220</v>
      </c>
      <c r="AG42" s="151"/>
      <c r="AH42" s="65" t="s">
        <v>220</v>
      </c>
      <c r="AI42" s="65" t="s">
        <v>220</v>
      </c>
      <c r="AJ42" s="65" t="s">
        <v>220</v>
      </c>
      <c r="AK42" s="65" t="s">
        <v>220</v>
      </c>
      <c r="AL42" s="65" t="s">
        <v>220</v>
      </c>
      <c r="AM42" s="65"/>
      <c r="AN42" s="65"/>
      <c r="AO42" s="65"/>
      <c r="AP42" s="65"/>
      <c r="AQ42" s="65"/>
      <c r="AR42" s="65"/>
      <c r="AS42" s="65"/>
      <c r="AT42" s="65"/>
      <c r="AU42" s="65"/>
      <c r="AV42" s="123"/>
      <c r="AW42" s="65" t="str">
        <f>IF(ISERR(IF($B42&lt;&gt;"",ROUND(_xll.PITimeDat(AW$67,$B42+20/1440,"sesaupi01","interpolated"),1),"")),"",IF($B42&lt;&gt;"",ROUND(_xll.PITimeDat(AW$67,$B42+20/1440,"sesaupi01","interpolated"),1),""))</f>
        <v/>
      </c>
      <c r="AX42" s="65" t="s">
        <v>220</v>
      </c>
      <c r="AY42" s="65" t="s">
        <v>220</v>
      </c>
      <c r="AZ42" s="65" t="str">
        <f>IF(ISERR(IF($B42&lt;&gt;"",ROUND(_xll.PITimeDat(AZ$67,$B42+20/1440,"sesaupi01","interpolated"),1),"")),"",IF($B42&lt;&gt;"",ROUND(_xll.PITimeDat(AZ$67,$B42+20/1440,"sesaupi01","interpolated"),1),""))</f>
        <v/>
      </c>
      <c r="BA42" s="65" t="str">
        <f>IF(ISERR(IF($B42&lt;&gt;"",ROUND(_xll.PITimeDat(BA$67,$B42+20/1440,"sesaupi01","interpolated"),1),"")),"",IF($B42&lt;&gt;"",ROUND(_xll.PITimeDat(BA$67,$B42+20/1440,"sesaupi01","interpolated"),1),""))</f>
        <v/>
      </c>
      <c r="BB42" s="65" t="s">
        <v>220</v>
      </c>
      <c r="BC42" s="65" t="s">
        <v>220</v>
      </c>
      <c r="BD42" s="65" t="s">
        <v>220</v>
      </c>
      <c r="BE42" s="65" t="s">
        <v>220</v>
      </c>
      <c r="BF42" s="65" t="s">
        <v>220</v>
      </c>
      <c r="BG42" s="65" t="str">
        <f>IF(ISERR(IF($B42&lt;&gt;"",ROUND(_xll.PITimeDat(BG$67,$B42+20/1440,"sesaupi01","interpolated"),1),"")),"",IF($B42&lt;&gt;"",ROUND(_xll.PITimeDat(BG$67,$B42+20/1440,"sesaupi01","interpolated"),1),""))</f>
        <v/>
      </c>
      <c r="BH42" s="65" t="s">
        <v>220</v>
      </c>
      <c r="BI42" s="65" t="s">
        <v>220</v>
      </c>
      <c r="BJ42" s="65" t="s">
        <v>220</v>
      </c>
      <c r="BK42" s="65" t="s">
        <v>220</v>
      </c>
      <c r="BL42" s="124"/>
      <c r="BM42" s="65" t="str">
        <f>IF(ISERR(IF($B42&lt;&gt;"",ROUND(_xll.PITimeDat(BM$67,$B42+20/1440,"sesaupi01","interpolated"),1),"")),"",IF($B42&lt;&gt;"",ROUND(_xll.PITimeDat(BM$67,$B42+20/1440,"sesaupi01","interpolated"),1),""))</f>
        <v/>
      </c>
      <c r="BN42" s="151"/>
      <c r="BO42" s="151"/>
      <c r="BP42" s="124"/>
      <c r="BQ42" s="65" t="str">
        <f>IF(ISERR(IF($B42&lt;&gt;"",ROUND(_xll.PITimeDat(BQ$67,$B42+20/1440,"sesaupi01","interpolated"),1),"")),"",IF($B42&lt;&gt;"",ROUND(_xll.PITimeDat(BQ$67,$B42+20/1440,"sesaupi01","interpolated"),1),""))</f>
        <v/>
      </c>
      <c r="BR42" s="124"/>
      <c r="BS42" s="124"/>
    </row>
    <row r="43" spans="2:71" ht="22.5" customHeight="1" x14ac:dyDescent="0.25">
      <c r="B43" s="314" t="str">
        <f t="shared" si="7"/>
        <v/>
      </c>
      <c r="C43" s="315"/>
      <c r="D43" s="65"/>
      <c r="E43" s="65"/>
      <c r="F43" s="65"/>
      <c r="G43" s="65"/>
      <c r="H43" s="65"/>
      <c r="I43" s="65" t="s">
        <v>220</v>
      </c>
      <c r="J43" s="65" t="s">
        <v>220</v>
      </c>
      <c r="K43" s="65" t="s">
        <v>220</v>
      </c>
      <c r="L43" s="65" t="s">
        <v>220</v>
      </c>
      <c r="M43" s="65" t="s">
        <v>220</v>
      </c>
      <c r="N43" s="65"/>
      <c r="O43" s="65" t="s">
        <v>220</v>
      </c>
      <c r="P43" s="65"/>
      <c r="Q43" s="65"/>
      <c r="R43" s="65"/>
      <c r="S43" s="65"/>
      <c r="T43" s="65"/>
      <c r="U43" s="65" t="str">
        <f t="shared" si="0"/>
        <v/>
      </c>
      <c r="V43" s="65" t="str">
        <f t="shared" si="1"/>
        <v/>
      </c>
      <c r="W43" s="65"/>
      <c r="X43" s="65" t="str">
        <f t="shared" si="5"/>
        <v/>
      </c>
      <c r="Y43" s="65" t="str">
        <f t="shared" si="2"/>
        <v/>
      </c>
      <c r="Z43" s="65"/>
      <c r="AA43" s="151"/>
      <c r="AB43" s="151"/>
      <c r="AC43" s="65" t="str">
        <f t="shared" si="3"/>
        <v/>
      </c>
      <c r="AD43" s="151"/>
      <c r="AE43" s="65" t="s">
        <v>220</v>
      </c>
      <c r="AF43" s="65" t="s">
        <v>220</v>
      </c>
      <c r="AG43" s="151"/>
      <c r="AH43" s="65" t="s">
        <v>220</v>
      </c>
      <c r="AI43" s="65" t="s">
        <v>220</v>
      </c>
      <c r="AJ43" s="65" t="s">
        <v>220</v>
      </c>
      <c r="AK43" s="65" t="s">
        <v>220</v>
      </c>
      <c r="AL43" s="65" t="s">
        <v>220</v>
      </c>
      <c r="AM43" s="65"/>
      <c r="AN43" s="65"/>
      <c r="AO43" s="65"/>
      <c r="AP43" s="65"/>
      <c r="AQ43" s="65"/>
      <c r="AR43" s="65"/>
      <c r="AS43" s="65"/>
      <c r="AT43" s="65"/>
      <c r="AU43" s="65"/>
      <c r="AV43" s="123"/>
      <c r="AW43" s="65" t="str">
        <f>IF(ISERR(IF($B43&lt;&gt;"",ROUND(_xll.PITimeDat(AW$67,$B43+20/1440,"sesaupi01","interpolated"),1),"")),"",IF($B43&lt;&gt;"",ROUND(_xll.PITimeDat(AW$67,$B43+20/1440,"sesaupi01","interpolated"),1),""))</f>
        <v/>
      </c>
      <c r="AX43" s="65" t="s">
        <v>220</v>
      </c>
      <c r="AY43" s="65" t="s">
        <v>220</v>
      </c>
      <c r="AZ43" s="65" t="str">
        <f>IF(ISERR(IF($B43&lt;&gt;"",ROUND(_xll.PITimeDat(AZ$67,$B43+20/1440,"sesaupi01","interpolated"),1),"")),"",IF($B43&lt;&gt;"",ROUND(_xll.PITimeDat(AZ$67,$B43+20/1440,"sesaupi01","interpolated"),1),""))</f>
        <v/>
      </c>
      <c r="BA43" s="65" t="str">
        <f>IF(ISERR(IF($B43&lt;&gt;"",ROUND(_xll.PITimeDat(BA$67,$B43+20/1440,"sesaupi01","interpolated"),1),"")),"",IF($B43&lt;&gt;"",ROUND(_xll.PITimeDat(BA$67,$B43+20/1440,"sesaupi01","interpolated"),1),""))</f>
        <v/>
      </c>
      <c r="BB43" s="65" t="s">
        <v>220</v>
      </c>
      <c r="BC43" s="65" t="s">
        <v>220</v>
      </c>
      <c r="BD43" s="65" t="s">
        <v>220</v>
      </c>
      <c r="BE43" s="65" t="s">
        <v>220</v>
      </c>
      <c r="BF43" s="65" t="s">
        <v>220</v>
      </c>
      <c r="BG43" s="65" t="str">
        <f>IF(ISERR(IF($B43&lt;&gt;"",ROUND(_xll.PITimeDat(BG$67,$B43+20/1440,"sesaupi01","interpolated"),1),"")),"",IF($B43&lt;&gt;"",ROUND(_xll.PITimeDat(BG$67,$B43+20/1440,"sesaupi01","interpolated"),1),""))</f>
        <v/>
      </c>
      <c r="BH43" s="65" t="s">
        <v>220</v>
      </c>
      <c r="BI43" s="65" t="s">
        <v>220</v>
      </c>
      <c r="BJ43" s="65" t="s">
        <v>220</v>
      </c>
      <c r="BK43" s="65" t="s">
        <v>220</v>
      </c>
      <c r="BL43" s="124"/>
      <c r="BM43" s="65" t="str">
        <f>IF(ISERR(IF($B43&lt;&gt;"",ROUND(_xll.PITimeDat(BM$67,$B43+20/1440,"sesaupi01","interpolated"),1),"")),"",IF($B43&lt;&gt;"",ROUND(_xll.PITimeDat(BM$67,$B43+20/1440,"sesaupi01","interpolated"),1),""))</f>
        <v/>
      </c>
      <c r="BN43" s="151"/>
      <c r="BO43" s="151"/>
      <c r="BP43" s="124"/>
      <c r="BQ43" s="65" t="str">
        <f>IF(ISERR(IF($B43&lt;&gt;"",ROUND(_xll.PITimeDat(BQ$67,$B43+20/1440,"sesaupi01","interpolated"),1),"")),"",IF($B43&lt;&gt;"",ROUND(_xll.PITimeDat(BQ$67,$B43+20/1440,"sesaupi01","interpolated"),1),""))</f>
        <v/>
      </c>
      <c r="BR43" s="124" t="str">
        <f>IF(ISERR(IF($B43&lt;&gt;"",ROUND(_xll.PITimeDat(BR$67,$B43,"sesaupi01","interpolated"),1),"")),"",IF($B43&lt;&gt;"",ROUND(_xll.PITimeDat(BR$67,$B43,"sesaupi01","interpolated"),1),""))</f>
        <v/>
      </c>
      <c r="BS43" s="124" t="str">
        <f>IF(ISERR(IF($B43&lt;&gt;"",ROUND(_xll.PITimeDat(BS$67,$B43,"sesaupi01","interpolated"),1),"")),"",IF($B43&lt;&gt;"",ROUND(_xll.PITimeDat(BS$67,$B43,"sesaupi01","interpolated"),1),""))</f>
        <v/>
      </c>
    </row>
    <row r="44" spans="2:71" ht="22.5" customHeight="1" x14ac:dyDescent="0.25">
      <c r="B44" s="314" t="str">
        <f t="shared" si="7"/>
        <v/>
      </c>
      <c r="C44" s="315"/>
      <c r="D44" s="65"/>
      <c r="E44" s="65"/>
      <c r="F44" s="65"/>
      <c r="G44" s="65"/>
      <c r="H44" s="65"/>
      <c r="I44" s="65" t="s">
        <v>220</v>
      </c>
      <c r="J44" s="65" t="s">
        <v>220</v>
      </c>
      <c r="K44" s="65" t="s">
        <v>220</v>
      </c>
      <c r="L44" s="65" t="s">
        <v>220</v>
      </c>
      <c r="M44" s="65" t="s">
        <v>220</v>
      </c>
      <c r="N44" s="65"/>
      <c r="O44" s="65" t="s">
        <v>220</v>
      </c>
      <c r="P44" s="65"/>
      <c r="Q44" s="65"/>
      <c r="R44" s="65"/>
      <c r="S44" s="65"/>
      <c r="T44" s="65"/>
      <c r="U44" s="65" t="str">
        <f t="shared" si="0"/>
        <v/>
      </c>
      <c r="V44" s="65" t="str">
        <f t="shared" si="1"/>
        <v/>
      </c>
      <c r="W44" s="65"/>
      <c r="X44" s="65" t="str">
        <f t="shared" si="5"/>
        <v/>
      </c>
      <c r="Y44" s="65" t="str">
        <f t="shared" si="2"/>
        <v/>
      </c>
      <c r="Z44" s="65"/>
      <c r="AA44" s="151"/>
      <c r="AB44" s="151"/>
      <c r="AC44" s="65" t="str">
        <f t="shared" si="3"/>
        <v/>
      </c>
      <c r="AD44" s="151"/>
      <c r="AE44" s="65" t="s">
        <v>220</v>
      </c>
      <c r="AF44" s="65" t="s">
        <v>220</v>
      </c>
      <c r="AG44" s="151"/>
      <c r="AH44" s="65" t="s">
        <v>220</v>
      </c>
      <c r="AI44" s="65" t="s">
        <v>220</v>
      </c>
      <c r="AJ44" s="65" t="s">
        <v>220</v>
      </c>
      <c r="AK44" s="65" t="s">
        <v>220</v>
      </c>
      <c r="AL44" s="65" t="s">
        <v>220</v>
      </c>
      <c r="AM44" s="65"/>
      <c r="AN44" s="65"/>
      <c r="AO44" s="65"/>
      <c r="AP44" s="65"/>
      <c r="AQ44" s="65"/>
      <c r="AR44" s="65"/>
      <c r="AS44" s="65"/>
      <c r="AT44" s="65"/>
      <c r="AU44" s="65"/>
      <c r="AV44" s="123"/>
      <c r="AW44" s="65" t="str">
        <f>IF(ISERR(IF($B44&lt;&gt;"",ROUND(_xll.PITimeDat(AW$67,$B44+20/1440,"sesaupi01","interpolated"),1),"")),"",IF($B44&lt;&gt;"",ROUND(_xll.PITimeDat(AW$67,$B44+20/1440,"sesaupi01","interpolated"),1),""))</f>
        <v/>
      </c>
      <c r="AX44" s="65" t="s">
        <v>220</v>
      </c>
      <c r="AY44" s="65" t="s">
        <v>220</v>
      </c>
      <c r="AZ44" s="65" t="str">
        <f>IF(ISERR(IF($B44&lt;&gt;"",ROUND(_xll.PITimeDat(AZ$67,$B44+20/1440,"sesaupi01","interpolated"),1),"")),"",IF($B44&lt;&gt;"",ROUND(_xll.PITimeDat(AZ$67,$B44+20/1440,"sesaupi01","interpolated"),1),""))</f>
        <v/>
      </c>
      <c r="BA44" s="65" t="str">
        <f>IF(ISERR(IF($B44&lt;&gt;"",ROUND(_xll.PITimeDat(BA$67,$B44+20/1440,"sesaupi01","interpolated"),1),"")),"",IF($B44&lt;&gt;"",ROUND(_xll.PITimeDat(BA$67,$B44+20/1440,"sesaupi01","interpolated"),1),""))</f>
        <v/>
      </c>
      <c r="BB44" s="65" t="s">
        <v>220</v>
      </c>
      <c r="BC44" s="65" t="s">
        <v>220</v>
      </c>
      <c r="BD44" s="65" t="s">
        <v>220</v>
      </c>
      <c r="BE44" s="65" t="s">
        <v>220</v>
      </c>
      <c r="BF44" s="65" t="s">
        <v>220</v>
      </c>
      <c r="BG44" s="65" t="str">
        <f>IF(ISERR(IF($B44&lt;&gt;"",ROUND(_xll.PITimeDat(BG$67,$B44+20/1440,"sesaupi01","interpolated"),1),"")),"",IF($B44&lt;&gt;"",ROUND(_xll.PITimeDat(BG$67,$B44+20/1440,"sesaupi01","interpolated"),1),""))</f>
        <v/>
      </c>
      <c r="BH44" s="65" t="s">
        <v>220</v>
      </c>
      <c r="BI44" s="65" t="s">
        <v>220</v>
      </c>
      <c r="BJ44" s="65" t="s">
        <v>220</v>
      </c>
      <c r="BK44" s="65" t="s">
        <v>220</v>
      </c>
      <c r="BL44" s="124"/>
      <c r="BM44" s="65" t="str">
        <f>IF(ISERR(IF($B44&lt;&gt;"",ROUND(_xll.PITimeDat(BM$67,$B44+20/1440,"sesaupi01","interpolated"),1),"")),"",IF($B44&lt;&gt;"",ROUND(_xll.PITimeDat(BM$67,$B44+20/1440,"sesaupi01","interpolated"),1),""))</f>
        <v/>
      </c>
      <c r="BN44" s="151"/>
      <c r="BO44" s="151"/>
      <c r="BP44" s="124"/>
      <c r="BQ44" s="65" t="str">
        <f>IF(ISERR(IF($B44&lt;&gt;"",ROUND(_xll.PITimeDat(BQ$67,$B44+20/1440,"sesaupi01","interpolated"),1),"")),"",IF($B44&lt;&gt;"",ROUND(_xll.PITimeDat(BQ$67,$B44+20/1440,"sesaupi01","interpolated"),1),""))</f>
        <v/>
      </c>
      <c r="BR44" s="124" t="str">
        <f>IF(ISERR(IF($B44&lt;&gt;"",ROUND(_xll.PITimeDat(BR$67,$B44,"sesaupi01","interpolated"),1),"")),"",IF($B44&lt;&gt;"",ROUND(_xll.PITimeDat(BR$67,$B44,"sesaupi01","interpolated"),1),""))</f>
        <v/>
      </c>
      <c r="BS44" s="124" t="str">
        <f>IF(ISERR(IF($B44&lt;&gt;"",ROUND(_xll.PITimeDat(BS$67,$B44,"sesaupi01","interpolated"),1),"")),"",IF($B44&lt;&gt;"",ROUND(_xll.PITimeDat(BS$67,$B44,"sesaupi01","interpolated"),1),""))</f>
        <v/>
      </c>
    </row>
    <row r="45" spans="2:71" ht="22.5" customHeight="1" x14ac:dyDescent="0.25">
      <c r="B45" s="314" t="str">
        <f t="shared" si="7"/>
        <v/>
      </c>
      <c r="C45" s="315"/>
      <c r="D45" s="65"/>
      <c r="E45" s="65"/>
      <c r="F45" s="65"/>
      <c r="G45" s="65"/>
      <c r="H45" s="65"/>
      <c r="I45" s="65" t="s">
        <v>220</v>
      </c>
      <c r="J45" s="65" t="s">
        <v>220</v>
      </c>
      <c r="K45" s="65" t="s">
        <v>220</v>
      </c>
      <c r="L45" s="65" t="s">
        <v>220</v>
      </c>
      <c r="M45" s="65" t="s">
        <v>220</v>
      </c>
      <c r="N45" s="65"/>
      <c r="O45" s="65" t="s">
        <v>220</v>
      </c>
      <c r="P45" s="65"/>
      <c r="Q45" s="65"/>
      <c r="R45" s="65"/>
      <c r="S45" s="65"/>
      <c r="T45" s="65"/>
      <c r="U45" s="65" t="str">
        <f t="shared" si="0"/>
        <v/>
      </c>
      <c r="V45" s="65" t="str">
        <f t="shared" si="1"/>
        <v/>
      </c>
      <c r="W45" s="65"/>
      <c r="X45" s="65" t="str">
        <f t="shared" si="5"/>
        <v/>
      </c>
      <c r="Y45" s="65" t="str">
        <f t="shared" si="2"/>
        <v/>
      </c>
      <c r="Z45" s="65"/>
      <c r="AA45" s="151"/>
      <c r="AB45" s="151"/>
      <c r="AC45" s="65" t="str">
        <f t="shared" si="3"/>
        <v/>
      </c>
      <c r="AD45" s="151"/>
      <c r="AE45" s="65" t="s">
        <v>220</v>
      </c>
      <c r="AF45" s="65" t="s">
        <v>220</v>
      </c>
      <c r="AG45" s="151"/>
      <c r="AH45" s="65" t="s">
        <v>220</v>
      </c>
      <c r="AI45" s="65" t="s">
        <v>220</v>
      </c>
      <c r="AJ45" s="65" t="s">
        <v>220</v>
      </c>
      <c r="AK45" s="65" t="s">
        <v>220</v>
      </c>
      <c r="AL45" s="65" t="s">
        <v>220</v>
      </c>
      <c r="AM45" s="65"/>
      <c r="AN45" s="65"/>
      <c r="AO45" s="65"/>
      <c r="AP45" s="65"/>
      <c r="AQ45" s="65"/>
      <c r="AR45" s="65"/>
      <c r="AS45" s="65"/>
      <c r="AT45" s="65"/>
      <c r="AU45" s="65"/>
      <c r="AV45" s="123"/>
      <c r="AW45" s="65" t="str">
        <f>IF(ISERR(IF($B45&lt;&gt;"",ROUND(_xll.PITimeDat(AW$67,$B45+20/1440,"sesaupi01","interpolated"),1),"")),"",IF($B45&lt;&gt;"",ROUND(_xll.PITimeDat(AW$67,$B45+20/1440,"sesaupi01","interpolated"),1),""))</f>
        <v/>
      </c>
      <c r="AX45" s="65" t="s">
        <v>220</v>
      </c>
      <c r="AY45" s="65" t="s">
        <v>220</v>
      </c>
      <c r="AZ45" s="65" t="str">
        <f>IF(ISERR(IF($B45&lt;&gt;"",ROUND(_xll.PITimeDat(AZ$67,$B45+20/1440,"sesaupi01","interpolated"),1),"")),"",IF($B45&lt;&gt;"",ROUND(_xll.PITimeDat(AZ$67,$B45+20/1440,"sesaupi01","interpolated"),1),""))</f>
        <v/>
      </c>
      <c r="BA45" s="65" t="str">
        <f>IF(ISERR(IF($B45&lt;&gt;"",ROUND(_xll.PITimeDat(BA$67,$B45+20/1440,"sesaupi01","interpolated"),1),"")),"",IF($B45&lt;&gt;"",ROUND(_xll.PITimeDat(BA$67,$B45+20/1440,"sesaupi01","interpolated"),1),""))</f>
        <v/>
      </c>
      <c r="BB45" s="65" t="s">
        <v>220</v>
      </c>
      <c r="BC45" s="65" t="s">
        <v>220</v>
      </c>
      <c r="BD45" s="65" t="s">
        <v>220</v>
      </c>
      <c r="BE45" s="65" t="s">
        <v>220</v>
      </c>
      <c r="BF45" s="65" t="s">
        <v>220</v>
      </c>
      <c r="BG45" s="65" t="str">
        <f>IF(ISERR(IF($B45&lt;&gt;"",ROUND(_xll.PITimeDat(BG$67,$B45+20/1440,"sesaupi01","interpolated"),1),"")),"",IF($B45&lt;&gt;"",ROUND(_xll.PITimeDat(BG$67,$B45+20/1440,"sesaupi01","interpolated"),1),""))</f>
        <v/>
      </c>
      <c r="BH45" s="65" t="s">
        <v>220</v>
      </c>
      <c r="BI45" s="65" t="s">
        <v>220</v>
      </c>
      <c r="BJ45" s="65" t="s">
        <v>220</v>
      </c>
      <c r="BK45" s="65" t="s">
        <v>220</v>
      </c>
      <c r="BL45" s="124"/>
      <c r="BM45" s="65" t="str">
        <f>IF(ISERR(IF($B45&lt;&gt;"",ROUND(_xll.PITimeDat(BM$67,$B45+20/1440,"sesaupi01","interpolated"),1),"")),"",IF($B45&lt;&gt;"",ROUND(_xll.PITimeDat(BM$67,$B45+20/1440,"sesaupi01","interpolated"),1),""))</f>
        <v/>
      </c>
      <c r="BN45" s="151"/>
      <c r="BO45" s="151"/>
      <c r="BP45" s="124"/>
      <c r="BQ45" s="65" t="str">
        <f>IF(ISERR(IF($B45&lt;&gt;"",ROUND(_xll.PITimeDat(BQ$67,$B45+20/1440,"sesaupi01","interpolated"),1),"")),"",IF($B45&lt;&gt;"",ROUND(_xll.PITimeDat(BQ$67,$B45+20/1440,"sesaupi01","interpolated"),1),""))</f>
        <v/>
      </c>
      <c r="BR45" s="124" t="str">
        <f>IF(ISERR(IF($B45&lt;&gt;"",ROUND(_xll.PITimeDat(BR$67,$B45,"sesaupi01","interpolated"),1),"")),"",IF($B45&lt;&gt;"",ROUND(_xll.PITimeDat(BR$67,$B45,"sesaupi01","interpolated"),1),""))</f>
        <v/>
      </c>
      <c r="BS45" s="124" t="str">
        <f>IF(ISERR(IF($B45&lt;&gt;"",ROUND(_xll.PITimeDat(BS$67,$B45,"sesaupi01","interpolated"),1),"")),"",IF($B45&lt;&gt;"",ROUND(_xll.PITimeDat(BS$67,$B45,"sesaupi01","interpolated"),1),""))</f>
        <v/>
      </c>
    </row>
    <row r="46" spans="2:71" ht="22.5" customHeight="1" x14ac:dyDescent="0.25">
      <c r="B46" s="314" t="str">
        <f t="shared" si="7"/>
        <v/>
      </c>
      <c r="C46" s="315"/>
      <c r="D46" s="65"/>
      <c r="E46" s="65"/>
      <c r="F46" s="65"/>
      <c r="G46" s="65"/>
      <c r="H46" s="65"/>
      <c r="I46" s="65" t="s">
        <v>220</v>
      </c>
      <c r="J46" s="65" t="s">
        <v>220</v>
      </c>
      <c r="K46" s="65" t="s">
        <v>220</v>
      </c>
      <c r="L46" s="65" t="s">
        <v>220</v>
      </c>
      <c r="M46" s="65" t="s">
        <v>220</v>
      </c>
      <c r="N46" s="65"/>
      <c r="O46" s="65" t="s">
        <v>220</v>
      </c>
      <c r="P46" s="65"/>
      <c r="Q46" s="65"/>
      <c r="R46" s="65"/>
      <c r="S46" s="65"/>
      <c r="T46" s="65"/>
      <c r="U46" s="65" t="str">
        <f t="shared" si="0"/>
        <v/>
      </c>
      <c r="V46" s="65" t="str">
        <f t="shared" si="1"/>
        <v/>
      </c>
      <c r="W46" s="65"/>
      <c r="X46" s="65" t="str">
        <f t="shared" si="5"/>
        <v/>
      </c>
      <c r="Y46" s="65" t="str">
        <f t="shared" si="2"/>
        <v/>
      </c>
      <c r="Z46" s="65"/>
      <c r="AA46" s="151"/>
      <c r="AB46" s="151"/>
      <c r="AC46" s="65" t="str">
        <f t="shared" si="3"/>
        <v/>
      </c>
      <c r="AD46" s="151"/>
      <c r="AE46" s="65" t="s">
        <v>220</v>
      </c>
      <c r="AF46" s="65" t="s">
        <v>220</v>
      </c>
      <c r="AG46" s="151"/>
      <c r="AH46" s="65" t="s">
        <v>220</v>
      </c>
      <c r="AI46" s="65" t="s">
        <v>220</v>
      </c>
      <c r="AJ46" s="65" t="s">
        <v>220</v>
      </c>
      <c r="AK46" s="65" t="s">
        <v>220</v>
      </c>
      <c r="AL46" s="65" t="s">
        <v>220</v>
      </c>
      <c r="AM46" s="65"/>
      <c r="AN46" s="65"/>
      <c r="AO46" s="65"/>
      <c r="AP46" s="65"/>
      <c r="AQ46" s="65"/>
      <c r="AR46" s="65"/>
      <c r="AS46" s="65"/>
      <c r="AT46" s="65"/>
      <c r="AU46" s="65"/>
      <c r="AV46" s="124"/>
      <c r="AW46" s="65" t="str">
        <f>IF(ISERR(IF($B46&lt;&gt;"",ROUND(_xll.PITimeDat(AW$67,$B46+20/1440,"sesaupi01","interpolated"),1),"")),"",IF($B46&lt;&gt;"",ROUND(_xll.PITimeDat(AW$67,$B46+20/1440,"sesaupi01","interpolated"),1),""))</f>
        <v/>
      </c>
      <c r="AX46" s="65" t="s">
        <v>220</v>
      </c>
      <c r="AY46" s="65" t="s">
        <v>220</v>
      </c>
      <c r="AZ46" s="65" t="str">
        <f>IF(ISERR(IF($B46&lt;&gt;"",ROUND(_xll.PITimeDat(AZ$67,$B46+20/1440,"sesaupi01","interpolated"),1),"")),"",IF($B46&lt;&gt;"",ROUND(_xll.PITimeDat(AZ$67,$B46+20/1440,"sesaupi01","interpolated"),1),""))</f>
        <v/>
      </c>
      <c r="BA46" s="65" t="str">
        <f>IF(ISERR(IF($B46&lt;&gt;"",ROUND(_xll.PITimeDat(BA$67,$B46+20/1440,"sesaupi01","interpolated"),1),"")),"",IF($B46&lt;&gt;"",ROUND(_xll.PITimeDat(BA$67,$B46+20/1440,"sesaupi01","interpolated"),1),""))</f>
        <v/>
      </c>
      <c r="BB46" s="65" t="s">
        <v>220</v>
      </c>
      <c r="BC46" s="65" t="s">
        <v>220</v>
      </c>
      <c r="BD46" s="65" t="s">
        <v>220</v>
      </c>
      <c r="BE46" s="65" t="s">
        <v>220</v>
      </c>
      <c r="BF46" s="65" t="s">
        <v>220</v>
      </c>
      <c r="BG46" s="65" t="str">
        <f>IF(ISERR(IF($B46&lt;&gt;"",ROUND(_xll.PITimeDat(BG$67,$B46+20/1440,"sesaupi01","interpolated"),1),"")),"",IF($B46&lt;&gt;"",ROUND(_xll.PITimeDat(BG$67,$B46+20/1440,"sesaupi01","interpolated"),1),""))</f>
        <v/>
      </c>
      <c r="BH46" s="65" t="s">
        <v>220</v>
      </c>
      <c r="BI46" s="65" t="s">
        <v>220</v>
      </c>
      <c r="BJ46" s="65" t="s">
        <v>220</v>
      </c>
      <c r="BK46" s="65" t="s">
        <v>220</v>
      </c>
      <c r="BL46" s="124"/>
      <c r="BM46" s="65" t="str">
        <f>IF(ISERR(IF($B46&lt;&gt;"",ROUND(_xll.PITimeDat(BM$67,$B46+20/1440,"sesaupi01","interpolated"),1),"")),"",IF($B46&lt;&gt;"",ROUND(_xll.PITimeDat(BM$67,$B46+20/1440,"sesaupi01","interpolated"),1),""))</f>
        <v/>
      </c>
      <c r="BN46" s="151"/>
      <c r="BO46" s="151"/>
      <c r="BP46" s="124"/>
      <c r="BQ46" s="65" t="str">
        <f>IF(ISERR(IF($B46&lt;&gt;"",ROUND(_xll.PITimeDat(BQ$67,$B46+20/1440,"sesaupi01","interpolated"),1),"")),"",IF($B46&lt;&gt;"",ROUND(_xll.PITimeDat(BQ$67,$B46+20/1440,"sesaupi01","interpolated"),1),""))</f>
        <v/>
      </c>
      <c r="BR46" s="124" t="str">
        <f>IF(ISERR(IF($B46&lt;&gt;"",ROUND(_xll.PITimeDat(BR$67,$B46,"sesaupi01","interpolated"),1),"")),"",IF($B46&lt;&gt;"",ROUND(_xll.PITimeDat(BR$67,$B46,"sesaupi01","interpolated"),1),""))</f>
        <v/>
      </c>
      <c r="BS46" s="124" t="str">
        <f>IF(ISERR(IF($B46&lt;&gt;"",ROUND(_xll.PITimeDat(BS$67,$B46,"sesaupi01","interpolated"),1),"")),"",IF($B46&lt;&gt;"",ROUND(_xll.PITimeDat(BS$67,$B46,"sesaupi01","interpolated"),1),""))</f>
        <v/>
      </c>
    </row>
    <row r="47" spans="2:71" ht="22.5" customHeight="1" x14ac:dyDescent="0.25">
      <c r="B47" s="314" t="str">
        <f t="shared" si="7"/>
        <v/>
      </c>
      <c r="C47" s="315"/>
      <c r="D47" s="65"/>
      <c r="E47" s="65"/>
      <c r="F47" s="65"/>
      <c r="G47" s="65"/>
      <c r="H47" s="65"/>
      <c r="I47" s="65" t="s">
        <v>220</v>
      </c>
      <c r="J47" s="65" t="s">
        <v>220</v>
      </c>
      <c r="K47" s="65" t="s">
        <v>220</v>
      </c>
      <c r="L47" s="65" t="s">
        <v>220</v>
      </c>
      <c r="M47" s="65" t="s">
        <v>220</v>
      </c>
      <c r="N47" s="65"/>
      <c r="O47" s="65" t="s">
        <v>220</v>
      </c>
      <c r="P47" s="65"/>
      <c r="Q47" s="65"/>
      <c r="R47" s="65"/>
      <c r="S47" s="65"/>
      <c r="T47" s="65"/>
      <c r="U47" s="65" t="str">
        <f t="shared" si="0"/>
        <v/>
      </c>
      <c r="V47" s="65" t="str">
        <f t="shared" si="1"/>
        <v/>
      </c>
      <c r="W47" s="65"/>
      <c r="X47" s="65" t="str">
        <f t="shared" si="5"/>
        <v/>
      </c>
      <c r="Y47" s="65" t="str">
        <f t="shared" si="2"/>
        <v/>
      </c>
      <c r="Z47" s="65"/>
      <c r="AA47" s="151"/>
      <c r="AB47" s="151"/>
      <c r="AC47" s="65" t="str">
        <f t="shared" si="3"/>
        <v/>
      </c>
      <c r="AD47" s="151"/>
      <c r="AE47" s="65" t="s">
        <v>220</v>
      </c>
      <c r="AF47" s="65" t="s">
        <v>220</v>
      </c>
      <c r="AG47" s="151"/>
      <c r="AH47" s="65" t="s">
        <v>220</v>
      </c>
      <c r="AI47" s="65" t="s">
        <v>220</v>
      </c>
      <c r="AJ47" s="65" t="s">
        <v>220</v>
      </c>
      <c r="AK47" s="65" t="s">
        <v>220</v>
      </c>
      <c r="AL47" s="65" t="s">
        <v>220</v>
      </c>
      <c r="AM47" s="65"/>
      <c r="AN47" s="65"/>
      <c r="AO47" s="65"/>
      <c r="AP47" s="65"/>
      <c r="AQ47" s="65"/>
      <c r="AR47" s="65"/>
      <c r="AS47" s="65"/>
      <c r="AT47" s="65"/>
      <c r="AU47" s="65"/>
      <c r="AV47" s="124"/>
      <c r="AW47" s="65" t="str">
        <f>IF(ISERR(IF($B47&lt;&gt;"",ROUND(_xll.PITimeDat(AW$67,$B47+20/1440,"sesaupi01","interpolated"),1),"")),"",IF($B47&lt;&gt;"",ROUND(_xll.PITimeDat(AW$67,$B47+20/1440,"sesaupi01","interpolated"),1),""))</f>
        <v/>
      </c>
      <c r="AX47" s="65" t="s">
        <v>220</v>
      </c>
      <c r="AY47" s="65" t="s">
        <v>220</v>
      </c>
      <c r="AZ47" s="65" t="str">
        <f>IF(ISERR(IF($B47&lt;&gt;"",ROUND(_xll.PITimeDat(AZ$67,$B47+20/1440,"sesaupi01","interpolated"),1),"")),"",IF($B47&lt;&gt;"",ROUND(_xll.PITimeDat(AZ$67,$B47+20/1440,"sesaupi01","interpolated"),1),""))</f>
        <v/>
      </c>
      <c r="BA47" s="65" t="str">
        <f>IF(ISERR(IF($B47&lt;&gt;"",ROUND(_xll.PITimeDat(BA$67,$B47+20/1440,"sesaupi01","interpolated"),1),"")),"",IF($B47&lt;&gt;"",ROUND(_xll.PITimeDat(BA$67,$B47+20/1440,"sesaupi01","interpolated"),1),""))</f>
        <v/>
      </c>
      <c r="BB47" s="65" t="s">
        <v>220</v>
      </c>
      <c r="BC47" s="65" t="s">
        <v>220</v>
      </c>
      <c r="BD47" s="65" t="s">
        <v>220</v>
      </c>
      <c r="BE47" s="65" t="s">
        <v>220</v>
      </c>
      <c r="BF47" s="65" t="s">
        <v>220</v>
      </c>
      <c r="BG47" s="65" t="str">
        <f>IF(ISERR(IF($B47&lt;&gt;"",ROUND(_xll.PITimeDat(BG$67,$B47+20/1440,"sesaupi01","interpolated"),1),"")),"",IF($B47&lt;&gt;"",ROUND(_xll.PITimeDat(BG$67,$B47+20/1440,"sesaupi01","interpolated"),1),""))</f>
        <v/>
      </c>
      <c r="BH47" s="65" t="s">
        <v>220</v>
      </c>
      <c r="BI47" s="65" t="s">
        <v>220</v>
      </c>
      <c r="BJ47" s="65" t="s">
        <v>220</v>
      </c>
      <c r="BK47" s="65" t="s">
        <v>220</v>
      </c>
      <c r="BL47" s="124"/>
      <c r="BM47" s="65" t="str">
        <f>IF(ISERR(IF($B47&lt;&gt;"",ROUND(_xll.PITimeDat(BM$67,$B47+20/1440,"sesaupi01","interpolated"),1),"")),"",IF($B47&lt;&gt;"",ROUND(_xll.PITimeDat(BM$67,$B47+20/1440,"sesaupi01","interpolated"),1),""))</f>
        <v/>
      </c>
      <c r="BN47" s="151"/>
      <c r="BO47" s="151"/>
      <c r="BP47" s="124"/>
      <c r="BQ47" s="65" t="str">
        <f>IF(ISERR(IF($B47&lt;&gt;"",ROUND(_xll.PITimeDat(BQ$67,$B47+20/1440,"sesaupi01","interpolated"),1),"")),"",IF($B47&lt;&gt;"",ROUND(_xll.PITimeDat(BQ$67,$B47+20/1440,"sesaupi01","interpolated"),1),""))</f>
        <v/>
      </c>
      <c r="BR47" s="124" t="str">
        <f>IF(ISERR(IF($B47&lt;&gt;"",ROUND(_xll.PITimeDat(BR$67,$B47,"sesaupi01","interpolated"),1),"")),"",IF($B47&lt;&gt;"",ROUND(_xll.PITimeDat(BR$67,$B47,"sesaupi01","interpolated"),1),""))</f>
        <v/>
      </c>
      <c r="BS47" s="124" t="str">
        <f>IF(ISERR(IF($B47&lt;&gt;"",ROUND(_xll.PITimeDat(BS$67,$B47,"sesaupi01","interpolated"),1),"")),"",IF($B47&lt;&gt;"",ROUND(_xll.PITimeDat(BS$67,$B47,"sesaupi01","interpolated"),1),""))</f>
        <v/>
      </c>
    </row>
    <row r="48" spans="2:71" ht="22.5" customHeight="1" x14ac:dyDescent="0.25">
      <c r="B48" s="314" t="str">
        <f t="shared" si="7"/>
        <v/>
      </c>
      <c r="C48" s="315"/>
      <c r="D48" s="65"/>
      <c r="E48" s="65"/>
      <c r="F48" s="65"/>
      <c r="G48" s="65"/>
      <c r="H48" s="65"/>
      <c r="I48" s="65" t="s">
        <v>220</v>
      </c>
      <c r="J48" s="65" t="s">
        <v>220</v>
      </c>
      <c r="K48" s="65" t="s">
        <v>220</v>
      </c>
      <c r="L48" s="65" t="s">
        <v>220</v>
      </c>
      <c r="M48" s="65" t="s">
        <v>220</v>
      </c>
      <c r="N48" s="65"/>
      <c r="O48" s="65" t="s">
        <v>220</v>
      </c>
      <c r="P48" s="65"/>
      <c r="Q48" s="65"/>
      <c r="R48" s="65"/>
      <c r="S48" s="65"/>
      <c r="T48" s="65"/>
      <c r="U48" s="65" t="str">
        <f t="shared" si="0"/>
        <v/>
      </c>
      <c r="V48" s="65" t="str">
        <f t="shared" si="1"/>
        <v/>
      </c>
      <c r="W48" s="65"/>
      <c r="X48" s="65" t="str">
        <f t="shared" si="5"/>
        <v/>
      </c>
      <c r="Y48" s="65" t="str">
        <f t="shared" si="2"/>
        <v/>
      </c>
      <c r="Z48" s="65"/>
      <c r="AA48" s="151"/>
      <c r="AB48" s="151"/>
      <c r="AC48" s="65" t="str">
        <f t="shared" si="3"/>
        <v/>
      </c>
      <c r="AD48" s="151"/>
      <c r="AE48" s="65" t="s">
        <v>220</v>
      </c>
      <c r="AF48" s="65" t="s">
        <v>220</v>
      </c>
      <c r="AG48" s="151"/>
      <c r="AH48" s="65" t="s">
        <v>220</v>
      </c>
      <c r="AI48" s="65" t="s">
        <v>220</v>
      </c>
      <c r="AJ48" s="65" t="s">
        <v>220</v>
      </c>
      <c r="AK48" s="65" t="s">
        <v>220</v>
      </c>
      <c r="AL48" s="65" t="s">
        <v>220</v>
      </c>
      <c r="AM48" s="65"/>
      <c r="AN48" s="65"/>
      <c r="AO48" s="65"/>
      <c r="AP48" s="65"/>
      <c r="AQ48" s="65"/>
      <c r="AR48" s="65"/>
      <c r="AS48" s="65"/>
      <c r="AT48" s="65"/>
      <c r="AU48" s="65"/>
      <c r="AV48" s="124"/>
      <c r="AW48" s="65" t="str">
        <f>IF(ISERR(IF($B48&lt;&gt;"",ROUND(_xll.PITimeDat(AW$67,$B48+20/1440,"sesaupi01","interpolated"),1),"")),"",IF($B48&lt;&gt;"",ROUND(_xll.PITimeDat(AW$67,$B48+20/1440,"sesaupi01","interpolated"),1),""))</f>
        <v/>
      </c>
      <c r="AX48" s="65" t="s">
        <v>220</v>
      </c>
      <c r="AY48" s="65" t="s">
        <v>220</v>
      </c>
      <c r="AZ48" s="65" t="str">
        <f>IF(ISERR(IF($B48&lt;&gt;"",ROUND(_xll.PITimeDat(AZ$67,$B48+20/1440,"sesaupi01","interpolated"),1),"")),"",IF($B48&lt;&gt;"",ROUND(_xll.PITimeDat(AZ$67,$B48+20/1440,"sesaupi01","interpolated"),1),""))</f>
        <v/>
      </c>
      <c r="BA48" s="65" t="str">
        <f>IF(ISERR(IF($B48&lt;&gt;"",ROUND(_xll.PITimeDat(BA$67,$B48+20/1440,"sesaupi01","interpolated"),1),"")),"",IF($B48&lt;&gt;"",ROUND(_xll.PITimeDat(BA$67,$B48+20/1440,"sesaupi01","interpolated"),1),""))</f>
        <v/>
      </c>
      <c r="BB48" s="65" t="s">
        <v>220</v>
      </c>
      <c r="BC48" s="65" t="s">
        <v>220</v>
      </c>
      <c r="BD48" s="65" t="s">
        <v>220</v>
      </c>
      <c r="BE48" s="65" t="s">
        <v>220</v>
      </c>
      <c r="BF48" s="65" t="s">
        <v>220</v>
      </c>
      <c r="BG48" s="65" t="str">
        <f>IF(ISERR(IF($B48&lt;&gt;"",ROUND(_xll.PITimeDat(BG$67,$B48+20/1440,"sesaupi01","interpolated"),1),"")),"",IF($B48&lt;&gt;"",ROUND(_xll.PITimeDat(BG$67,$B48+20/1440,"sesaupi01","interpolated"),1),""))</f>
        <v/>
      </c>
      <c r="BH48" s="65" t="s">
        <v>220</v>
      </c>
      <c r="BI48" s="65" t="s">
        <v>220</v>
      </c>
      <c r="BJ48" s="65" t="s">
        <v>220</v>
      </c>
      <c r="BK48" s="65" t="s">
        <v>220</v>
      </c>
      <c r="BL48" s="124"/>
      <c r="BM48" s="65" t="str">
        <f>IF(ISERR(IF($B48&lt;&gt;"",ROUND(_xll.PITimeDat(BM$67,$B48+20/1440,"sesaupi01","interpolated"),1),"")),"",IF($B48&lt;&gt;"",ROUND(_xll.PITimeDat(BM$67,$B48+20/1440,"sesaupi01","interpolated"),1),""))</f>
        <v/>
      </c>
      <c r="BN48" s="151"/>
      <c r="BO48" s="151"/>
      <c r="BP48" s="124"/>
      <c r="BQ48" s="65" t="str">
        <f>IF(ISERR(IF($B48&lt;&gt;"",ROUND(_xll.PITimeDat(BQ$67,$B48+20/1440,"sesaupi01","interpolated"),1),"")),"",IF($B48&lt;&gt;"",ROUND(_xll.PITimeDat(BQ$67,$B48+20/1440,"sesaupi01","interpolated"),1),""))</f>
        <v/>
      </c>
      <c r="BR48" s="124" t="str">
        <f>IF(ISERR(IF($B48&lt;&gt;"",ROUND(_xll.PITimeDat(BR$67,$B48,"sesaupi01","interpolated"),1),"")),"",IF($B48&lt;&gt;"",ROUND(_xll.PITimeDat(BR$67,$B48,"sesaupi01","interpolated"),1),""))</f>
        <v/>
      </c>
      <c r="BS48" s="124" t="str">
        <f>IF(ISERR(IF($B48&lt;&gt;"",ROUND(_xll.PITimeDat(BS$67,$B48,"sesaupi01","interpolated"),1),"")),"",IF($B48&lt;&gt;"",ROUND(_xll.PITimeDat(BS$67,$B48,"sesaupi01","interpolated"),1),""))</f>
        <v/>
      </c>
    </row>
    <row r="49" spans="2:71" ht="22.5" customHeight="1" x14ac:dyDescent="0.25">
      <c r="B49" s="314" t="str">
        <f t="shared" si="7"/>
        <v/>
      </c>
      <c r="C49" s="315"/>
      <c r="D49" s="65"/>
      <c r="E49" s="65"/>
      <c r="F49" s="65"/>
      <c r="G49" s="65"/>
      <c r="H49" s="65"/>
      <c r="I49" s="65" t="s">
        <v>220</v>
      </c>
      <c r="J49" s="65" t="s">
        <v>220</v>
      </c>
      <c r="K49" s="65" t="s">
        <v>220</v>
      </c>
      <c r="L49" s="65" t="s">
        <v>220</v>
      </c>
      <c r="M49" s="65" t="s">
        <v>220</v>
      </c>
      <c r="N49" s="65"/>
      <c r="O49" s="65" t="s">
        <v>220</v>
      </c>
      <c r="P49" s="65"/>
      <c r="Q49" s="65"/>
      <c r="R49" s="65"/>
      <c r="S49" s="65"/>
      <c r="T49" s="65"/>
      <c r="U49" s="65" t="str">
        <f t="shared" si="0"/>
        <v/>
      </c>
      <c r="V49" s="65" t="str">
        <f t="shared" si="1"/>
        <v/>
      </c>
      <c r="W49" s="65"/>
      <c r="X49" s="65" t="str">
        <f t="shared" si="5"/>
        <v/>
      </c>
      <c r="Y49" s="65" t="str">
        <f t="shared" si="2"/>
        <v/>
      </c>
      <c r="Z49" s="65"/>
      <c r="AA49" s="151"/>
      <c r="AB49" s="151"/>
      <c r="AC49" s="65" t="str">
        <f t="shared" si="3"/>
        <v/>
      </c>
      <c r="AD49" s="151"/>
      <c r="AE49" s="65" t="s">
        <v>220</v>
      </c>
      <c r="AF49" s="65" t="s">
        <v>220</v>
      </c>
      <c r="AG49" s="151"/>
      <c r="AH49" s="65" t="s">
        <v>220</v>
      </c>
      <c r="AI49" s="65" t="s">
        <v>220</v>
      </c>
      <c r="AJ49" s="65" t="s">
        <v>220</v>
      </c>
      <c r="AK49" s="65" t="s">
        <v>220</v>
      </c>
      <c r="AL49" s="65" t="s">
        <v>220</v>
      </c>
      <c r="AM49" s="65"/>
      <c r="AN49" s="65"/>
      <c r="AO49" s="65"/>
      <c r="AP49" s="65"/>
      <c r="AQ49" s="65"/>
      <c r="AR49" s="65"/>
      <c r="AS49" s="65"/>
      <c r="AT49" s="65"/>
      <c r="AU49" s="65"/>
      <c r="AV49" s="124"/>
      <c r="AW49" s="65" t="str">
        <f>IF(ISERR(IF($B49&lt;&gt;"",ROUND(_xll.PITimeDat(AW$67,$B49+20/1440,"sesaupi01","interpolated"),1),"")),"",IF($B49&lt;&gt;"",ROUND(_xll.PITimeDat(AW$67,$B49+20/1440,"sesaupi01","interpolated"),1),""))</f>
        <v/>
      </c>
      <c r="AX49" s="65" t="s">
        <v>220</v>
      </c>
      <c r="AY49" s="65" t="s">
        <v>220</v>
      </c>
      <c r="AZ49" s="65" t="str">
        <f>IF(ISERR(IF($B49&lt;&gt;"",ROUND(_xll.PITimeDat(AZ$67,$B49+20/1440,"sesaupi01","interpolated"),1),"")),"",IF($B49&lt;&gt;"",ROUND(_xll.PITimeDat(AZ$67,$B49+20/1440,"sesaupi01","interpolated"),1),""))</f>
        <v/>
      </c>
      <c r="BA49" s="65" t="str">
        <f>IF(ISERR(IF($B49&lt;&gt;"",ROUND(_xll.PITimeDat(BA$67,$B49+20/1440,"sesaupi01","interpolated"),1),"")),"",IF($B49&lt;&gt;"",ROUND(_xll.PITimeDat(BA$67,$B49+20/1440,"sesaupi01","interpolated"),1),""))</f>
        <v/>
      </c>
      <c r="BB49" s="65" t="s">
        <v>220</v>
      </c>
      <c r="BC49" s="65" t="s">
        <v>220</v>
      </c>
      <c r="BD49" s="65" t="s">
        <v>220</v>
      </c>
      <c r="BE49" s="65" t="s">
        <v>220</v>
      </c>
      <c r="BF49" s="65" t="s">
        <v>220</v>
      </c>
      <c r="BG49" s="65" t="str">
        <f>IF(ISERR(IF($B49&lt;&gt;"",ROUND(_xll.PITimeDat(BG$67,$B49+20/1440,"sesaupi01","interpolated"),1),"")),"",IF($B49&lt;&gt;"",ROUND(_xll.PITimeDat(BG$67,$B49+20/1440,"sesaupi01","interpolated"),1),""))</f>
        <v/>
      </c>
      <c r="BH49" s="65" t="s">
        <v>220</v>
      </c>
      <c r="BI49" s="65" t="s">
        <v>220</v>
      </c>
      <c r="BJ49" s="65" t="s">
        <v>220</v>
      </c>
      <c r="BK49" s="65" t="s">
        <v>220</v>
      </c>
      <c r="BL49" s="124"/>
      <c r="BM49" s="65" t="str">
        <f>IF(ISERR(IF($B49&lt;&gt;"",ROUND(_xll.PITimeDat(BM$67,$B49+20/1440,"sesaupi01","interpolated"),1),"")),"",IF($B49&lt;&gt;"",ROUND(_xll.PITimeDat(BM$67,$B49+20/1440,"sesaupi01","interpolated"),1),""))</f>
        <v/>
      </c>
      <c r="BN49" s="151"/>
      <c r="BO49" s="151"/>
      <c r="BP49" s="124"/>
      <c r="BQ49" s="65" t="str">
        <f>IF(ISERR(IF($B49&lt;&gt;"",ROUND(_xll.PITimeDat(BQ$67,$B49+20/1440,"sesaupi01","interpolated"),1),"")),"",IF($B49&lt;&gt;"",ROUND(_xll.PITimeDat(BQ$67,$B49+20/1440,"sesaupi01","interpolated"),1),""))</f>
        <v/>
      </c>
      <c r="BR49" s="124" t="str">
        <f>IF(ISERR(IF($B49&lt;&gt;"",ROUND(_xll.PITimeDat(BR$67,$B49,"sesaupi01","interpolated"),1),"")),"",IF($B49&lt;&gt;"",ROUND(_xll.PITimeDat(BR$67,$B49,"sesaupi01","interpolated"),1),""))</f>
        <v/>
      </c>
      <c r="BS49" s="124" t="str">
        <f>IF(ISERR(IF($B49&lt;&gt;"",ROUND(_xll.PITimeDat(BS$67,$B49,"sesaupi01","interpolated"),1),"")),"",IF($B49&lt;&gt;"",ROUND(_xll.PITimeDat(BS$67,$B49,"sesaupi01","interpolated"),1),""))</f>
        <v/>
      </c>
    </row>
    <row r="50" spans="2:71" ht="22.5" customHeight="1" x14ac:dyDescent="0.25">
      <c r="B50" s="314" t="str">
        <f t="shared" si="7"/>
        <v/>
      </c>
      <c r="C50" s="315"/>
      <c r="D50" s="65"/>
      <c r="E50" s="65"/>
      <c r="F50" s="65"/>
      <c r="G50" s="65"/>
      <c r="H50" s="65"/>
      <c r="I50" s="65" t="s">
        <v>220</v>
      </c>
      <c r="J50" s="65" t="s">
        <v>220</v>
      </c>
      <c r="K50" s="65" t="s">
        <v>220</v>
      </c>
      <c r="L50" s="65" t="s">
        <v>220</v>
      </c>
      <c r="M50" s="65" t="s">
        <v>220</v>
      </c>
      <c r="N50" s="65"/>
      <c r="O50" s="65" t="s">
        <v>220</v>
      </c>
      <c r="P50" s="65"/>
      <c r="Q50" s="65"/>
      <c r="R50" s="65"/>
      <c r="S50" s="65"/>
      <c r="T50" s="65"/>
      <c r="U50" s="65" t="str">
        <f t="shared" si="0"/>
        <v/>
      </c>
      <c r="V50" s="65" t="str">
        <f t="shared" si="1"/>
        <v/>
      </c>
      <c r="W50" s="65"/>
      <c r="X50" s="65" t="str">
        <f t="shared" si="5"/>
        <v/>
      </c>
      <c r="Y50" s="65" t="str">
        <f t="shared" si="2"/>
        <v/>
      </c>
      <c r="Z50" s="65"/>
      <c r="AA50" s="151"/>
      <c r="AB50" s="151"/>
      <c r="AC50" s="65" t="str">
        <f t="shared" si="3"/>
        <v/>
      </c>
      <c r="AD50" s="151"/>
      <c r="AE50" s="65" t="s">
        <v>220</v>
      </c>
      <c r="AF50" s="65" t="s">
        <v>220</v>
      </c>
      <c r="AG50" s="151"/>
      <c r="AH50" s="65" t="s">
        <v>220</v>
      </c>
      <c r="AI50" s="65" t="s">
        <v>220</v>
      </c>
      <c r="AJ50" s="65" t="s">
        <v>220</v>
      </c>
      <c r="AK50" s="65" t="s">
        <v>220</v>
      </c>
      <c r="AL50" s="65" t="s">
        <v>220</v>
      </c>
      <c r="AM50" s="65"/>
      <c r="AN50" s="65"/>
      <c r="AO50" s="65"/>
      <c r="AP50" s="65"/>
      <c r="AQ50" s="65"/>
      <c r="AR50" s="65"/>
      <c r="AS50" s="65"/>
      <c r="AT50" s="65"/>
      <c r="AU50" s="65"/>
      <c r="AV50" s="124"/>
      <c r="AW50" s="65" t="str">
        <f>IF(ISERR(IF($B50&lt;&gt;"",ROUND(_xll.PITimeDat(AW$67,$B50+20/1440,"sesaupi01","interpolated"),1),"")),"",IF($B50&lt;&gt;"",ROUND(_xll.PITimeDat(AW$67,$B50+20/1440,"sesaupi01","interpolated"),1),""))</f>
        <v/>
      </c>
      <c r="AX50" s="65" t="s">
        <v>220</v>
      </c>
      <c r="AY50" s="65" t="s">
        <v>220</v>
      </c>
      <c r="AZ50" s="65" t="str">
        <f>IF(ISERR(IF($B50&lt;&gt;"",ROUND(_xll.PITimeDat(AZ$67,$B50+20/1440,"sesaupi01","interpolated"),1),"")),"",IF($B50&lt;&gt;"",ROUND(_xll.PITimeDat(AZ$67,$B50+20/1440,"sesaupi01","interpolated"),1),""))</f>
        <v/>
      </c>
      <c r="BA50" s="65" t="str">
        <f>IF(ISERR(IF($B50&lt;&gt;"",ROUND(_xll.PITimeDat(BA$67,$B50+20/1440,"sesaupi01","interpolated"),1),"")),"",IF($B50&lt;&gt;"",ROUND(_xll.PITimeDat(BA$67,$B50+20/1440,"sesaupi01","interpolated"),1),""))</f>
        <v/>
      </c>
      <c r="BB50" s="65" t="s">
        <v>220</v>
      </c>
      <c r="BC50" s="65" t="s">
        <v>220</v>
      </c>
      <c r="BD50" s="65" t="s">
        <v>220</v>
      </c>
      <c r="BE50" s="65" t="s">
        <v>220</v>
      </c>
      <c r="BF50" s="65" t="s">
        <v>220</v>
      </c>
      <c r="BG50" s="65" t="str">
        <f>IF(ISERR(IF($B50&lt;&gt;"",ROUND(_xll.PITimeDat(BG$67,$B50+20/1440,"sesaupi01","interpolated"),1),"")),"",IF($B50&lt;&gt;"",ROUND(_xll.PITimeDat(BG$67,$B50+20/1440,"sesaupi01","interpolated"),1),""))</f>
        <v/>
      </c>
      <c r="BH50" s="65" t="s">
        <v>220</v>
      </c>
      <c r="BI50" s="65" t="s">
        <v>220</v>
      </c>
      <c r="BJ50" s="65" t="s">
        <v>220</v>
      </c>
      <c r="BK50" s="65" t="s">
        <v>220</v>
      </c>
      <c r="BL50" s="124"/>
      <c r="BM50" s="65" t="str">
        <f>IF(ISERR(IF($B50&lt;&gt;"",ROUND(_xll.PITimeDat(BM$67,$B50+20/1440,"sesaupi01","interpolated"),1),"")),"",IF($B50&lt;&gt;"",ROUND(_xll.PITimeDat(BM$67,$B50+20/1440,"sesaupi01","interpolated"),1),""))</f>
        <v/>
      </c>
      <c r="BN50" s="151"/>
      <c r="BO50" s="151"/>
      <c r="BP50" s="124"/>
      <c r="BQ50" s="65" t="str">
        <f>IF(ISERR(IF($B50&lt;&gt;"",ROUND(_xll.PITimeDat(BQ$67,$B50+20/1440,"sesaupi01","interpolated"),1),"")),"",IF($B50&lt;&gt;"",ROUND(_xll.PITimeDat(BQ$67,$B50+20/1440,"sesaupi01","interpolated"),1),""))</f>
        <v/>
      </c>
      <c r="BR50" s="124" t="str">
        <f>IF(ISERR(IF($B50&lt;&gt;"",ROUND(_xll.PITimeDat(BR$67,$B50,"sesaupi01","interpolated"),1),"")),"",IF($B50&lt;&gt;"",ROUND(_xll.PITimeDat(BR$67,$B50,"sesaupi01","interpolated"),1),""))</f>
        <v/>
      </c>
      <c r="BS50" s="124" t="str">
        <f>IF(ISERR(IF($B50&lt;&gt;"",ROUND(_xll.PITimeDat(BS$67,$B50,"sesaupi01","interpolated"),1),"")),"",IF($B50&lt;&gt;"",ROUND(_xll.PITimeDat(BS$67,$B50,"sesaupi01","interpolated"),1),""))</f>
        <v/>
      </c>
    </row>
    <row r="51" spans="2:71" ht="22.5" customHeight="1" x14ac:dyDescent="0.25">
      <c r="B51" s="314" t="str">
        <f t="shared" si="7"/>
        <v/>
      </c>
      <c r="C51" s="315"/>
      <c r="D51" s="65"/>
      <c r="E51" s="65"/>
      <c r="F51" s="65"/>
      <c r="G51" s="65"/>
      <c r="H51" s="65"/>
      <c r="I51" s="65" t="s">
        <v>220</v>
      </c>
      <c r="J51" s="65" t="s">
        <v>220</v>
      </c>
      <c r="K51" s="65" t="s">
        <v>220</v>
      </c>
      <c r="L51" s="65" t="s">
        <v>220</v>
      </c>
      <c r="M51" s="65" t="s">
        <v>220</v>
      </c>
      <c r="N51" s="65"/>
      <c r="O51" s="65" t="s">
        <v>220</v>
      </c>
      <c r="P51" s="65"/>
      <c r="Q51" s="65"/>
      <c r="R51" s="65"/>
      <c r="S51" s="65"/>
      <c r="T51" s="65"/>
      <c r="U51" s="65" t="str">
        <f t="shared" si="0"/>
        <v/>
      </c>
      <c r="V51" s="65" t="str">
        <f t="shared" si="1"/>
        <v/>
      </c>
      <c r="W51" s="65"/>
      <c r="X51" s="65" t="str">
        <f t="shared" si="5"/>
        <v/>
      </c>
      <c r="Y51" s="65" t="str">
        <f t="shared" si="2"/>
        <v/>
      </c>
      <c r="Z51" s="65"/>
      <c r="AA51" s="151"/>
      <c r="AB51" s="151"/>
      <c r="AC51" s="65" t="str">
        <f t="shared" si="3"/>
        <v/>
      </c>
      <c r="AD51" s="151"/>
      <c r="AE51" s="65" t="s">
        <v>220</v>
      </c>
      <c r="AF51" s="65" t="s">
        <v>220</v>
      </c>
      <c r="AG51" s="151"/>
      <c r="AH51" s="65" t="s">
        <v>220</v>
      </c>
      <c r="AI51" s="65" t="s">
        <v>220</v>
      </c>
      <c r="AJ51" s="65" t="s">
        <v>220</v>
      </c>
      <c r="AK51" s="65" t="s">
        <v>220</v>
      </c>
      <c r="AL51" s="65" t="s">
        <v>220</v>
      </c>
      <c r="AM51" s="65"/>
      <c r="AN51" s="65"/>
      <c r="AO51" s="65"/>
      <c r="AP51" s="65"/>
      <c r="AQ51" s="65"/>
      <c r="AR51" s="65"/>
      <c r="AS51" s="65"/>
      <c r="AT51" s="65"/>
      <c r="AU51" s="65"/>
      <c r="AV51" s="124"/>
      <c r="AW51" s="65" t="str">
        <f>IF(ISERR(IF($B51&lt;&gt;"",ROUND(_xll.PITimeDat(AW$67,$B51+20/1440,"sesaupi01","interpolated"),1),"")),"",IF($B51&lt;&gt;"",ROUND(_xll.PITimeDat(AW$67,$B51+20/1440,"sesaupi01","interpolated"),1),""))</f>
        <v/>
      </c>
      <c r="AX51" s="65" t="s">
        <v>220</v>
      </c>
      <c r="AY51" s="65" t="s">
        <v>220</v>
      </c>
      <c r="AZ51" s="65" t="str">
        <f>IF(ISERR(IF($B51&lt;&gt;"",ROUND(_xll.PITimeDat(AZ$67,$B51+20/1440,"sesaupi01","interpolated"),1),"")),"",IF($B51&lt;&gt;"",ROUND(_xll.PITimeDat(AZ$67,$B51+20/1440,"sesaupi01","interpolated"),1),""))</f>
        <v/>
      </c>
      <c r="BA51" s="65" t="str">
        <f>IF(ISERR(IF($B51&lt;&gt;"",ROUND(_xll.PITimeDat(BA$67,$B51+20/1440,"sesaupi01","interpolated"),1),"")),"",IF($B51&lt;&gt;"",ROUND(_xll.PITimeDat(BA$67,$B51+20/1440,"sesaupi01","interpolated"),1),""))</f>
        <v/>
      </c>
      <c r="BB51" s="65" t="s">
        <v>220</v>
      </c>
      <c r="BC51" s="65" t="s">
        <v>220</v>
      </c>
      <c r="BD51" s="65" t="s">
        <v>220</v>
      </c>
      <c r="BE51" s="65" t="s">
        <v>220</v>
      </c>
      <c r="BF51" s="65" t="s">
        <v>220</v>
      </c>
      <c r="BG51" s="65" t="str">
        <f>IF(ISERR(IF($B51&lt;&gt;"",ROUND(_xll.PITimeDat(BG$67,$B51+20/1440,"sesaupi01","interpolated"),1),"")),"",IF($B51&lt;&gt;"",ROUND(_xll.PITimeDat(BG$67,$B51+20/1440,"sesaupi01","interpolated"),1),""))</f>
        <v/>
      </c>
      <c r="BH51" s="65" t="s">
        <v>220</v>
      </c>
      <c r="BI51" s="65" t="s">
        <v>220</v>
      </c>
      <c r="BJ51" s="65" t="s">
        <v>220</v>
      </c>
      <c r="BK51" s="65" t="s">
        <v>220</v>
      </c>
      <c r="BL51" s="124"/>
      <c r="BM51" s="65" t="str">
        <f>IF(ISERR(IF($B51&lt;&gt;"",ROUND(_xll.PITimeDat(BM$67,$B51+20/1440,"sesaupi01","interpolated"),1),"")),"",IF($B51&lt;&gt;"",ROUND(_xll.PITimeDat(BM$67,$B51+20/1440,"sesaupi01","interpolated"),1),""))</f>
        <v/>
      </c>
      <c r="BN51" s="151"/>
      <c r="BO51" s="151"/>
      <c r="BP51" s="124"/>
      <c r="BQ51" s="65" t="str">
        <f>IF(ISERR(IF($B51&lt;&gt;"",ROUND(_xll.PITimeDat(BQ$67,$B51+20/1440,"sesaupi01","interpolated"),1),"")),"",IF($B51&lt;&gt;"",ROUND(_xll.PITimeDat(BQ$67,$B51+20/1440,"sesaupi01","interpolated"),1),""))</f>
        <v/>
      </c>
      <c r="BR51" s="124" t="str">
        <f>IF(ISERR(IF($B51&lt;&gt;"",ROUND(_xll.PITimeDat(BR$67,$B51,"sesaupi01","interpolated"),1),"")),"",IF($B51&lt;&gt;"",ROUND(_xll.PITimeDat(BR$67,$B51,"sesaupi01","interpolated"),1),""))</f>
        <v/>
      </c>
      <c r="BS51" s="124" t="str">
        <f>IF(ISERR(IF($B51&lt;&gt;"",ROUND(_xll.PITimeDat(BS$67,$B51,"sesaupi01","interpolated"),1),"")),"",IF($B51&lt;&gt;"",ROUND(_xll.PITimeDat(BS$67,$B51,"sesaupi01","interpolated"),1),""))</f>
        <v/>
      </c>
    </row>
    <row r="52" spans="2:71" ht="22.5" customHeight="1" x14ac:dyDescent="0.25">
      <c r="B52" s="314" t="str">
        <f t="shared" si="7"/>
        <v/>
      </c>
      <c r="C52" s="315"/>
      <c r="D52" s="65"/>
      <c r="E52" s="65"/>
      <c r="F52" s="65"/>
      <c r="G52" s="65"/>
      <c r="H52" s="65"/>
      <c r="I52" s="65" t="s">
        <v>220</v>
      </c>
      <c r="J52" s="65" t="s">
        <v>220</v>
      </c>
      <c r="K52" s="65" t="s">
        <v>220</v>
      </c>
      <c r="L52" s="65" t="s">
        <v>220</v>
      </c>
      <c r="M52" s="65" t="s">
        <v>220</v>
      </c>
      <c r="N52" s="65"/>
      <c r="O52" s="65" t="s">
        <v>220</v>
      </c>
      <c r="P52" s="65"/>
      <c r="Q52" s="65"/>
      <c r="R52" s="65"/>
      <c r="S52" s="65"/>
      <c r="T52" s="65"/>
      <c r="U52" s="65" t="str">
        <f t="shared" si="0"/>
        <v/>
      </c>
      <c r="V52" s="65" t="str">
        <f t="shared" si="1"/>
        <v/>
      </c>
      <c r="W52" s="65"/>
      <c r="X52" s="65" t="str">
        <f t="shared" si="5"/>
        <v/>
      </c>
      <c r="Y52" s="65" t="str">
        <f t="shared" si="2"/>
        <v/>
      </c>
      <c r="Z52" s="65"/>
      <c r="AA52" s="151"/>
      <c r="AB52" s="151"/>
      <c r="AC52" s="65" t="str">
        <f t="shared" si="3"/>
        <v/>
      </c>
      <c r="AD52" s="151"/>
      <c r="AE52" s="65" t="s">
        <v>220</v>
      </c>
      <c r="AF52" s="65" t="s">
        <v>220</v>
      </c>
      <c r="AG52" s="65"/>
      <c r="AH52" s="65" t="s">
        <v>220</v>
      </c>
      <c r="AI52" s="65" t="s">
        <v>220</v>
      </c>
      <c r="AJ52" s="65" t="s">
        <v>220</v>
      </c>
      <c r="AK52" s="65" t="s">
        <v>220</v>
      </c>
      <c r="AL52" s="65" t="s">
        <v>220</v>
      </c>
      <c r="AM52" s="65"/>
      <c r="AN52" s="65"/>
      <c r="AO52" s="65"/>
      <c r="AP52" s="65"/>
      <c r="AQ52" s="65"/>
      <c r="AR52" s="65"/>
      <c r="AS52" s="65"/>
      <c r="AT52" s="65"/>
      <c r="AU52" s="65"/>
      <c r="AV52" s="124"/>
      <c r="AW52" s="65" t="str">
        <f>IF(ISERR(IF($B52&lt;&gt;"",ROUND(_xll.PITimeDat(AW$67,$B52+20/1440,"sesaupi01","interpolated"),1),"")),"",IF($B52&lt;&gt;"",ROUND(_xll.PITimeDat(AW$67,$B52+20/1440,"sesaupi01","interpolated"),1),""))</f>
        <v/>
      </c>
      <c r="AX52" s="65" t="s">
        <v>220</v>
      </c>
      <c r="AY52" s="65" t="s">
        <v>220</v>
      </c>
      <c r="AZ52" s="65" t="str">
        <f>IF(ISERR(IF($B52&lt;&gt;"",ROUND(_xll.PITimeDat(AZ$67,$B52+20/1440,"sesaupi01","interpolated"),1),"")),"",IF($B52&lt;&gt;"",ROUND(_xll.PITimeDat(AZ$67,$B52+20/1440,"sesaupi01","interpolated"),1),""))</f>
        <v/>
      </c>
      <c r="BA52" s="65" t="str">
        <f>IF(ISERR(IF($B52&lt;&gt;"",ROUND(_xll.PITimeDat(BA$67,$B52+20/1440,"sesaupi01","interpolated"),1),"")),"",IF($B52&lt;&gt;"",ROUND(_xll.PITimeDat(BA$67,$B52+20/1440,"sesaupi01","interpolated"),1),""))</f>
        <v/>
      </c>
      <c r="BB52" s="65" t="s">
        <v>220</v>
      </c>
      <c r="BC52" s="65" t="s">
        <v>220</v>
      </c>
      <c r="BD52" s="65" t="s">
        <v>220</v>
      </c>
      <c r="BE52" s="65" t="s">
        <v>220</v>
      </c>
      <c r="BF52" s="65" t="s">
        <v>220</v>
      </c>
      <c r="BG52" s="65" t="str">
        <f>IF(ISERR(IF($B52&lt;&gt;"",ROUND(_xll.PITimeDat(BG$67,$B52+20/1440,"sesaupi01","interpolated"),1),"")),"",IF($B52&lt;&gt;"",ROUND(_xll.PITimeDat(BG$67,$B52+20/1440,"sesaupi01","interpolated"),1),""))</f>
        <v/>
      </c>
      <c r="BH52" s="65" t="s">
        <v>220</v>
      </c>
      <c r="BI52" s="65" t="s">
        <v>220</v>
      </c>
      <c r="BJ52" s="65" t="s">
        <v>220</v>
      </c>
      <c r="BK52" s="65" t="s">
        <v>220</v>
      </c>
      <c r="BL52" s="124"/>
      <c r="BM52" s="65" t="str">
        <f>IF(ISERR(IF($B52&lt;&gt;"",ROUND(_xll.PITimeDat(BM$67,$B52+20/1440,"sesaupi01","interpolated"),1),"")),"",IF($B52&lt;&gt;"",ROUND(_xll.PITimeDat(BM$67,$B52+20/1440,"sesaupi01","interpolated"),1),""))</f>
        <v/>
      </c>
      <c r="BN52" s="151"/>
      <c r="BO52" s="151"/>
      <c r="BP52" s="124"/>
      <c r="BQ52" s="65" t="str">
        <f>IF(ISERR(IF($B52&lt;&gt;"",ROUND(_xll.PITimeDat(BQ$67,$B52+20/1440,"sesaupi01","interpolated"),1),"")),"",IF($B52&lt;&gt;"",ROUND(_xll.PITimeDat(BQ$67,$B52+20/1440,"sesaupi01","interpolated"),1),""))</f>
        <v/>
      </c>
      <c r="BR52" s="124" t="str">
        <f>IF(ISERR(IF($B52&lt;&gt;"",ROUND(_xll.PITimeDat(BR$67,$B52,"sesaupi01","interpolated"),1),"")),"",IF($B52&lt;&gt;"",ROUND(_xll.PITimeDat(BR$67,$B52,"sesaupi01","interpolated"),1),""))</f>
        <v/>
      </c>
      <c r="BS52" s="124" t="str">
        <f>IF(ISERR(IF($B52&lt;&gt;"",ROUND(_xll.PITimeDat(BS$67,$B52,"sesaupi01","interpolated"),1),"")),"",IF($B52&lt;&gt;"",ROUND(_xll.PITimeDat(BS$67,$B52,"sesaupi01","interpolated"),1),""))</f>
        <v/>
      </c>
    </row>
    <row r="53" spans="2:71" ht="22.5" customHeight="1" x14ac:dyDescent="0.25">
      <c r="B53" s="319" t="s">
        <v>221</v>
      </c>
      <c r="C53" s="319"/>
      <c r="D53" s="90">
        <f>IF(SUM(D29:D52)=0,0,AVERAGE(D29:D52))</f>
        <v>224.02171153437627</v>
      </c>
      <c r="E53" s="90">
        <f t="shared" ref="E53:Y53" si="8">IF(SUM(E29:E52)=0,0,AVERAGE(E29:E52))</f>
        <v>77.691876850756358</v>
      </c>
      <c r="F53" s="90">
        <f t="shared" si="8"/>
        <v>0</v>
      </c>
      <c r="G53" s="90">
        <f t="shared" si="8"/>
        <v>75.609107971191406</v>
      </c>
      <c r="H53" s="90">
        <f t="shared" si="8"/>
        <v>71.557204722376213</v>
      </c>
      <c r="I53" s="90"/>
      <c r="J53" s="90"/>
      <c r="K53" s="90"/>
      <c r="L53" s="90"/>
      <c r="M53" s="90"/>
      <c r="N53" s="90">
        <f t="shared" si="8"/>
        <v>32.700667723767481</v>
      </c>
      <c r="O53" s="90"/>
      <c r="P53" s="90">
        <f t="shared" si="8"/>
        <v>8.5361466533295705</v>
      </c>
      <c r="Q53" s="90">
        <f t="shared" si="8"/>
        <v>72.326605343068053</v>
      </c>
      <c r="R53" s="90">
        <f t="shared" si="8"/>
        <v>26.045982360839844</v>
      </c>
      <c r="S53" s="90">
        <f t="shared" si="8"/>
        <v>7.5600703568691854</v>
      </c>
      <c r="T53" s="90">
        <f t="shared" si="8"/>
        <v>97.149735884029241</v>
      </c>
      <c r="U53" s="90">
        <f t="shared" si="8"/>
        <v>33.1</v>
      </c>
      <c r="V53" s="90">
        <f t="shared" si="8"/>
        <v>14.012333333333334</v>
      </c>
      <c r="W53" s="90">
        <f t="shared" si="8"/>
        <v>42.333333333333336</v>
      </c>
      <c r="X53" s="90">
        <f t="shared" si="8"/>
        <v>153.04000000000002</v>
      </c>
      <c r="Y53" s="90">
        <f t="shared" si="8"/>
        <v>1257.6600000000001</v>
      </c>
      <c r="Z53" s="90"/>
      <c r="AA53" s="90">
        <f t="shared" ref="AA53:BS53" si="9">IF(SUM(AA29:AA52)=0,0,AVERAGE(AA29:AA52))</f>
        <v>0</v>
      </c>
      <c r="AB53" s="90">
        <f t="shared" si="9"/>
        <v>0</v>
      </c>
      <c r="AC53" s="90">
        <f t="shared" si="9"/>
        <v>0</v>
      </c>
      <c r="AD53" s="90">
        <f t="shared" si="9"/>
        <v>0</v>
      </c>
      <c r="AE53" s="90">
        <f t="shared" si="9"/>
        <v>0</v>
      </c>
      <c r="AF53" s="90">
        <f t="shared" si="9"/>
        <v>0</v>
      </c>
      <c r="AG53" s="90">
        <f t="shared" si="9"/>
        <v>0</v>
      </c>
      <c r="AH53" s="90"/>
      <c r="AI53" s="90"/>
      <c r="AJ53" s="90"/>
      <c r="AK53" s="90"/>
      <c r="AL53" s="90"/>
      <c r="AM53" s="90">
        <f t="shared" si="9"/>
        <v>80.065906896554068</v>
      </c>
      <c r="AN53" s="90">
        <f t="shared" si="9"/>
        <v>73.785720387310477</v>
      </c>
      <c r="AO53" s="90">
        <f t="shared" si="9"/>
        <v>191.02124016863505</v>
      </c>
      <c r="AP53" s="90">
        <f t="shared" si="9"/>
        <v>0</v>
      </c>
      <c r="AQ53" s="90">
        <f t="shared" si="9"/>
        <v>0</v>
      </c>
      <c r="AR53" s="90">
        <f t="shared" si="9"/>
        <v>169.90484411375661</v>
      </c>
      <c r="AS53" s="90">
        <f t="shared" si="9"/>
        <v>0</v>
      </c>
      <c r="AT53" s="90">
        <f t="shared" si="9"/>
        <v>0</v>
      </c>
      <c r="AU53" s="90">
        <f t="shared" si="9"/>
        <v>55</v>
      </c>
      <c r="AV53" s="90">
        <f>IF(SUM(AV29:AV52)=0,0,AVERAGE(AV29:AV52))</f>
        <v>0</v>
      </c>
      <c r="AW53" s="90">
        <f t="shared" si="9"/>
        <v>33.1</v>
      </c>
      <c r="AX53" s="90">
        <f t="shared" si="9"/>
        <v>0</v>
      </c>
      <c r="AY53" s="90"/>
      <c r="AZ53" s="90">
        <f t="shared" si="9"/>
        <v>7.6499999999999986</v>
      </c>
      <c r="BA53" s="90">
        <f t="shared" si="9"/>
        <v>97.06</v>
      </c>
      <c r="BB53" s="90"/>
      <c r="BC53" s="90"/>
      <c r="BD53" s="90"/>
      <c r="BE53" s="90"/>
      <c r="BF53" s="90">
        <f t="shared" si="9"/>
        <v>0</v>
      </c>
      <c r="BG53" s="90">
        <f t="shared" si="9"/>
        <v>153.04000000000002</v>
      </c>
      <c r="BH53" s="90"/>
      <c r="BI53" s="90"/>
      <c r="BJ53" s="90"/>
      <c r="BK53" s="90"/>
      <c r="BL53" s="90">
        <f>IF(SUM(BL30:BL52)=0,0,AVERAGE(BL30:BL52))</f>
        <v>0</v>
      </c>
      <c r="BM53" s="90">
        <f t="shared" si="9"/>
        <v>1257.6600000000001</v>
      </c>
      <c r="BN53" s="90">
        <f t="shared" si="9"/>
        <v>8.560704681850364</v>
      </c>
      <c r="BO53" s="90">
        <f t="shared" si="9"/>
        <v>95.552401768131844</v>
      </c>
      <c r="BP53" s="90">
        <f t="shared" si="9"/>
        <v>0</v>
      </c>
      <c r="BQ53" s="90">
        <f t="shared" si="9"/>
        <v>0</v>
      </c>
      <c r="BR53" s="90">
        <f t="shared" si="9"/>
        <v>0</v>
      </c>
      <c r="BS53" s="90">
        <f t="shared" si="9"/>
        <v>0</v>
      </c>
    </row>
    <row r="54" spans="2:71" ht="22.5" customHeight="1" x14ac:dyDescent="0.25"/>
    <row r="55" spans="2:71" ht="22.5" customHeight="1" x14ac:dyDescent="0.25">
      <c r="B55" s="312" t="s">
        <v>222</v>
      </c>
      <c r="C55" s="312"/>
      <c r="D55" s="312"/>
      <c r="E55" s="312"/>
      <c r="F55" s="312"/>
      <c r="G55" s="312"/>
      <c r="H55" s="312"/>
      <c r="I55" s="312"/>
      <c r="J55" s="312"/>
      <c r="K55" s="312"/>
      <c r="L55" s="312"/>
      <c r="M55" s="312"/>
      <c r="N55" s="312"/>
      <c r="O55" s="312"/>
      <c r="P55" s="312"/>
      <c r="Q55" s="312"/>
      <c r="R55" s="312"/>
      <c r="S55" s="312"/>
      <c r="T55" s="312"/>
      <c r="U55" s="312"/>
      <c r="V55" s="312"/>
      <c r="W55" s="312"/>
      <c r="X55" s="312"/>
      <c r="Y55" s="313"/>
      <c r="Z55" s="64"/>
      <c r="AA55" s="25"/>
      <c r="AB55" s="13" t="s">
        <v>223</v>
      </c>
      <c r="AC55" s="14"/>
      <c r="AD55" s="14"/>
      <c r="AE55" s="14"/>
      <c r="AF55" s="14"/>
      <c r="AG55" s="14"/>
      <c r="AH55" s="14"/>
      <c r="AI55" s="14"/>
      <c r="AJ55" s="14"/>
      <c r="AK55" s="14"/>
      <c r="AL55" s="14"/>
      <c r="AM55" s="14"/>
      <c r="AN55" s="14"/>
      <c r="AO55" s="14"/>
      <c r="AP55" s="14"/>
      <c r="AQ55" s="14"/>
      <c r="AR55" s="14"/>
      <c r="AS55" s="14"/>
      <c r="AT55" s="15"/>
      <c r="AU55" s="45"/>
      <c r="AV55" s="308" t="s">
        <v>224</v>
      </c>
      <c r="AW55" s="308"/>
      <c r="AX55" s="308"/>
      <c r="AY55" s="308"/>
      <c r="AZ55" s="308"/>
      <c r="BA55" s="308"/>
      <c r="BB55" s="308"/>
      <c r="BC55" s="308"/>
      <c r="BD55" s="308"/>
      <c r="BE55" s="308"/>
      <c r="BF55" s="308"/>
      <c r="BG55" s="308"/>
      <c r="BH55" s="308"/>
      <c r="BI55" s="308"/>
      <c r="BJ55" s="308"/>
      <c r="BK55" s="308"/>
      <c r="BL55" s="308"/>
      <c r="BM55" s="308"/>
      <c r="BN55" s="308"/>
      <c r="BO55" s="308"/>
      <c r="BP55" s="308"/>
      <c r="BQ55" s="308"/>
      <c r="BR55" s="308"/>
      <c r="BS55" s="308"/>
    </row>
    <row r="56" spans="2:71" ht="22.5" customHeight="1" x14ac:dyDescent="0.25">
      <c r="B56" s="312"/>
      <c r="C56" s="312"/>
      <c r="D56" s="312"/>
      <c r="E56" s="312"/>
      <c r="F56" s="312"/>
      <c r="G56" s="312"/>
      <c r="H56" s="312"/>
      <c r="I56" s="312"/>
      <c r="J56" s="312"/>
      <c r="K56" s="312"/>
      <c r="L56" s="312"/>
      <c r="M56" s="312"/>
      <c r="N56" s="312"/>
      <c r="O56" s="312"/>
      <c r="P56" s="312"/>
      <c r="Q56" s="312"/>
      <c r="R56" s="312"/>
      <c r="S56" s="312"/>
      <c r="T56" s="312"/>
      <c r="U56" s="312"/>
      <c r="V56" s="312"/>
      <c r="W56" s="312"/>
      <c r="X56" s="312"/>
      <c r="Y56" s="313"/>
      <c r="Z56" s="64"/>
      <c r="AA56" s="25"/>
      <c r="AB56" s="251" t="s">
        <v>225</v>
      </c>
      <c r="AC56" s="252"/>
      <c r="AD56" s="252"/>
      <c r="AE56" s="255" t="s">
        <v>1100</v>
      </c>
      <c r="AF56" s="255"/>
      <c r="AG56" s="255"/>
      <c r="AH56" s="255"/>
      <c r="AI56" s="255"/>
      <c r="AJ56" s="255"/>
      <c r="AK56" s="255"/>
      <c r="AL56" s="255"/>
      <c r="AM56" s="255"/>
      <c r="AN56" s="255"/>
      <c r="AO56" s="255"/>
      <c r="AP56" s="255"/>
      <c r="AQ56" s="255"/>
      <c r="AR56" s="255"/>
      <c r="AS56" s="255"/>
      <c r="AT56" s="256"/>
      <c r="AU56" s="43"/>
      <c r="AV56" s="274"/>
      <c r="AW56" s="274"/>
      <c r="AX56" s="272" t="s">
        <v>226</v>
      </c>
      <c r="AY56" s="273"/>
      <c r="AZ56" s="272" t="s">
        <v>227</v>
      </c>
      <c r="BA56" s="359"/>
      <c r="BB56" s="267" t="s">
        <v>228</v>
      </c>
      <c r="BC56" s="267"/>
      <c r="BD56" s="267"/>
      <c r="BE56" s="267"/>
      <c r="BF56" s="267"/>
      <c r="BG56" s="267"/>
      <c r="BH56" s="267"/>
      <c r="BI56" s="267"/>
      <c r="BJ56" s="267"/>
      <c r="BK56" s="267"/>
      <c r="BL56" s="296" t="s">
        <v>229</v>
      </c>
      <c r="BM56" s="297"/>
      <c r="BN56" s="297"/>
      <c r="BO56" s="297"/>
      <c r="BP56" s="297"/>
      <c r="BQ56" s="297"/>
      <c r="BR56" s="297"/>
      <c r="BS56" s="298"/>
    </row>
    <row r="57" spans="2:71" ht="22.5" customHeight="1" x14ac:dyDescent="0.25">
      <c r="B57" s="336" t="s">
        <v>230</v>
      </c>
      <c r="C57" s="341" t="s">
        <v>231</v>
      </c>
      <c r="D57" s="342"/>
      <c r="E57" s="309" t="s">
        <v>232</v>
      </c>
      <c r="F57" s="309"/>
      <c r="G57" s="309"/>
      <c r="H57" s="309"/>
      <c r="I57" s="309"/>
      <c r="J57" s="309"/>
      <c r="K57" s="309"/>
      <c r="L57" s="309"/>
      <c r="M57" s="309" t="s">
        <v>233</v>
      </c>
      <c r="N57" s="309"/>
      <c r="O57" s="309"/>
      <c r="P57" s="309"/>
      <c r="Q57" s="310" t="s">
        <v>213</v>
      </c>
      <c r="R57" s="311"/>
      <c r="S57" s="311"/>
      <c r="T57" s="311"/>
      <c r="U57" s="7" t="s">
        <v>130</v>
      </c>
      <c r="V57" s="7" t="s">
        <v>130</v>
      </c>
      <c r="W57" s="7" t="s">
        <v>211</v>
      </c>
      <c r="X57" s="17" t="s">
        <v>213</v>
      </c>
      <c r="Y57" s="7" t="s">
        <v>132</v>
      </c>
      <c r="AA57" s="23"/>
      <c r="AB57" s="253"/>
      <c r="AC57" s="254"/>
      <c r="AD57" s="254"/>
      <c r="AE57" s="257"/>
      <c r="AF57" s="257"/>
      <c r="AG57" s="257"/>
      <c r="AH57" s="257"/>
      <c r="AI57" s="257"/>
      <c r="AJ57" s="257"/>
      <c r="AK57" s="257"/>
      <c r="AL57" s="257"/>
      <c r="AM57" s="257"/>
      <c r="AN57" s="257"/>
      <c r="AO57" s="257"/>
      <c r="AP57" s="257"/>
      <c r="AQ57" s="257"/>
      <c r="AR57" s="257"/>
      <c r="AS57" s="257"/>
      <c r="AT57" s="258"/>
      <c r="AU57" s="43"/>
      <c r="AV57" s="267" t="s">
        <v>234</v>
      </c>
      <c r="AW57" s="267"/>
      <c r="AX57" s="287" t="s">
        <v>1102</v>
      </c>
      <c r="AY57" s="287"/>
      <c r="AZ57" s="289" t="s">
        <v>1103</v>
      </c>
      <c r="BA57" s="290"/>
      <c r="BB57" s="287" t="s">
        <v>1104</v>
      </c>
      <c r="BC57" s="287"/>
      <c r="BD57" s="287"/>
      <c r="BE57" s="287"/>
      <c r="BF57" s="287"/>
      <c r="BG57" s="287"/>
      <c r="BH57" s="287"/>
      <c r="BI57" s="287"/>
      <c r="BJ57" s="287"/>
      <c r="BK57" s="287"/>
      <c r="BL57" s="299"/>
      <c r="BM57" s="300"/>
      <c r="BN57" s="300"/>
      <c r="BO57" s="300"/>
      <c r="BP57" s="300"/>
      <c r="BQ57" s="300"/>
      <c r="BR57" s="300"/>
      <c r="BS57" s="301"/>
    </row>
    <row r="58" spans="2:71" ht="22.5" customHeight="1" x14ac:dyDescent="0.25">
      <c r="B58" s="336"/>
      <c r="C58" s="343"/>
      <c r="D58" s="344"/>
      <c r="E58" s="60" t="s">
        <v>235</v>
      </c>
      <c r="F58" s="60" t="s">
        <v>236</v>
      </c>
      <c r="G58" s="60" t="s">
        <v>237</v>
      </c>
      <c r="H58" s="60" t="s">
        <v>238</v>
      </c>
      <c r="I58" s="296" t="s">
        <v>239</v>
      </c>
      <c r="J58" s="298"/>
      <c r="K58" s="60" t="s">
        <v>240</v>
      </c>
      <c r="L58" s="82" t="s">
        <v>241</v>
      </c>
      <c r="M58" s="60" t="s">
        <v>242</v>
      </c>
      <c r="N58" s="60" t="s">
        <v>243</v>
      </c>
      <c r="O58" s="60" t="s">
        <v>244</v>
      </c>
      <c r="P58" s="60" t="s">
        <v>245</v>
      </c>
      <c r="Q58" s="296" t="s">
        <v>246</v>
      </c>
      <c r="R58" s="298"/>
      <c r="S58" s="296" t="s">
        <v>247</v>
      </c>
      <c r="T58" s="298"/>
      <c r="U58" s="60" t="s">
        <v>248</v>
      </c>
      <c r="V58" s="60" t="s">
        <v>249</v>
      </c>
      <c r="W58" s="60" t="s">
        <v>250</v>
      </c>
      <c r="X58" s="60" t="s">
        <v>180</v>
      </c>
      <c r="Y58" s="60" t="s">
        <v>198</v>
      </c>
      <c r="AA58" s="23"/>
      <c r="AB58" s="154" t="s">
        <v>251</v>
      </c>
      <c r="AC58" s="155"/>
      <c r="AD58" s="155"/>
      <c r="AE58" s="155"/>
      <c r="AF58" s="155"/>
      <c r="AG58" s="220"/>
      <c r="AH58" s="248">
        <v>8873234</v>
      </c>
      <c r="AI58" s="249">
        <v>45251</v>
      </c>
      <c r="AJ58" s="156"/>
      <c r="AK58" s="157"/>
      <c r="AL58" s="158"/>
      <c r="AM58" s="158"/>
      <c r="AN58" s="158"/>
      <c r="AO58" s="158"/>
      <c r="AP58" s="158"/>
      <c r="AQ58" s="158"/>
      <c r="AR58" s="158"/>
      <c r="AS58" s="158"/>
      <c r="AT58" s="159"/>
      <c r="AU58" s="43"/>
      <c r="AV58" s="267"/>
      <c r="AW58" s="267"/>
      <c r="AX58" s="287"/>
      <c r="AY58" s="287"/>
      <c r="AZ58" s="291"/>
      <c r="BA58" s="292"/>
      <c r="BB58" s="287"/>
      <c r="BC58" s="287"/>
      <c r="BD58" s="287"/>
      <c r="BE58" s="287"/>
      <c r="BF58" s="287"/>
      <c r="BG58" s="287"/>
      <c r="BH58" s="287"/>
      <c r="BI58" s="287"/>
      <c r="BJ58" s="287"/>
      <c r="BK58" s="287"/>
      <c r="BL58" s="302"/>
      <c r="BM58" s="303"/>
      <c r="BN58" s="303"/>
      <c r="BO58" s="303"/>
      <c r="BP58" s="303"/>
      <c r="BQ58" s="303"/>
      <c r="BR58" s="303"/>
      <c r="BS58" s="304"/>
    </row>
    <row r="59" spans="2:71" ht="22.5" customHeight="1" x14ac:dyDescent="0.25">
      <c r="B59" s="97" t="s">
        <v>252</v>
      </c>
      <c r="C59" s="268">
        <f>M7</f>
        <v>45311.791666666664</v>
      </c>
      <c r="D59" s="269"/>
      <c r="E59" s="95">
        <f>COUNT(B29:B52)</f>
        <v>10</v>
      </c>
      <c r="F59" s="96">
        <f>G59+H59</f>
        <v>4457.7398160000012</v>
      </c>
      <c r="G59" s="96">
        <f>U53*(1-$W$53/100)*$AH$8*24</f>
        <v>448.48381600000005</v>
      </c>
      <c r="H59" s="96">
        <f>(($U$53*$W$53/100)+X53)*24</f>
        <v>4009.2560000000008</v>
      </c>
      <c r="I59" s="270">
        <f>K59-L59</f>
        <v>28922.918464759132</v>
      </c>
      <c r="J59" s="271"/>
      <c r="K59" s="96">
        <f>($Y$53*(1-($AD$9/100))+($U$53*(1-$W$53/100)*$AH$9*$AH$8))*24</f>
        <v>28922.918464759132</v>
      </c>
      <c r="L59" s="96">
        <f>AC53*24</f>
        <v>0</v>
      </c>
      <c r="M59" s="96">
        <f>I59/G59</f>
        <v>64.490439638872346</v>
      </c>
      <c r="N59" s="96">
        <f>L59/F59</f>
        <v>0</v>
      </c>
      <c r="O59" s="96">
        <f>I59/F59</f>
        <v>6.4882473312926807</v>
      </c>
      <c r="P59" s="96">
        <f>N59+O59</f>
        <v>6.4882473312926807</v>
      </c>
      <c r="Q59" s="270">
        <f>(H59/F59)*100</f>
        <v>89.939210575048051</v>
      </c>
      <c r="R59" s="271"/>
      <c r="S59" s="270">
        <f>W53</f>
        <v>42.333333333333336</v>
      </c>
      <c r="T59" s="271"/>
      <c r="U59" s="96">
        <f>AD53*1.01972</f>
        <v>0</v>
      </c>
      <c r="V59" s="96">
        <f>N53</f>
        <v>32.700667723767481</v>
      </c>
      <c r="W59" s="96">
        <f>Q53</f>
        <v>72.326605343068053</v>
      </c>
      <c r="X59" s="96">
        <f>R53</f>
        <v>26.045982360839844</v>
      </c>
      <c r="Y59" s="96" t="s">
        <v>103</v>
      </c>
      <c r="AA59" s="26"/>
      <c r="AB59" s="316"/>
      <c r="AC59" s="317"/>
      <c r="AD59" s="317"/>
      <c r="AE59" s="317"/>
      <c r="AF59" s="317"/>
      <c r="AG59" s="317"/>
      <c r="AH59" s="317"/>
      <c r="AI59" s="317"/>
      <c r="AJ59" s="317"/>
      <c r="AK59" s="317"/>
      <c r="AL59" s="317"/>
      <c r="AM59" s="317"/>
      <c r="AN59" s="317"/>
      <c r="AO59" s="317"/>
      <c r="AP59" s="317"/>
      <c r="AQ59" s="317"/>
      <c r="AR59" s="317"/>
      <c r="AS59" s="317"/>
      <c r="AT59" s="318"/>
      <c r="AU59" s="43"/>
      <c r="AV59" s="267"/>
      <c r="AW59" s="267"/>
      <c r="AX59" s="287"/>
      <c r="AY59" s="287"/>
      <c r="AZ59" s="293"/>
      <c r="BA59" s="294"/>
      <c r="BB59" s="287"/>
      <c r="BC59" s="287"/>
      <c r="BD59" s="287"/>
      <c r="BE59" s="287"/>
      <c r="BF59" s="287"/>
      <c r="BG59" s="287"/>
      <c r="BH59" s="287"/>
      <c r="BI59" s="287"/>
      <c r="BJ59" s="287"/>
      <c r="BK59" s="287"/>
      <c r="BL59" s="305"/>
      <c r="BM59" s="306"/>
      <c r="BN59" s="306"/>
      <c r="BO59" s="306"/>
      <c r="BP59" s="306"/>
      <c r="BQ59" s="306"/>
      <c r="BR59" s="306"/>
      <c r="BS59" s="307"/>
    </row>
    <row r="60" spans="2:71" ht="22.5" customHeight="1" x14ac:dyDescent="0.25">
      <c r="B60" s="97" t="s">
        <v>253</v>
      </c>
      <c r="C60" s="268">
        <v>45252.375</v>
      </c>
      <c r="D60" s="269"/>
      <c r="E60" s="95">
        <v>6</v>
      </c>
      <c r="F60" s="96">
        <v>4513.4567999999999</v>
      </c>
      <c r="G60" s="96">
        <v>447.85679999999996</v>
      </c>
      <c r="H60" s="96">
        <v>4065.6000000000004</v>
      </c>
      <c r="I60" s="270">
        <v>29432.701243326497</v>
      </c>
      <c r="J60" s="271"/>
      <c r="K60" s="96">
        <v>29432.701243326497</v>
      </c>
      <c r="L60" s="96">
        <v>0</v>
      </c>
      <c r="M60" s="96">
        <v>65.719000455785192</v>
      </c>
      <c r="N60" s="96">
        <v>0</v>
      </c>
      <c r="O60" s="96">
        <v>6.5210995801104152</v>
      </c>
      <c r="P60" s="96">
        <v>6.5210995801104152</v>
      </c>
      <c r="Q60" s="270">
        <v>90.077299510211333</v>
      </c>
      <c r="R60" s="271"/>
      <c r="S60" s="270">
        <v>50</v>
      </c>
      <c r="T60" s="271"/>
      <c r="U60" s="96">
        <v>0</v>
      </c>
      <c r="V60" s="96">
        <v>32.143070374596014</v>
      </c>
      <c r="W60" s="96">
        <v>72.447364986825761</v>
      </c>
      <c r="X60" s="96">
        <v>26.396743774414063</v>
      </c>
      <c r="Y60" s="96" t="s">
        <v>103</v>
      </c>
      <c r="AA60" s="24"/>
      <c r="AB60" s="13" t="s">
        <v>254</v>
      </c>
      <c r="AC60" s="14"/>
      <c r="AD60" s="14"/>
      <c r="AE60" s="14"/>
      <c r="AF60" s="14"/>
      <c r="AG60" s="14"/>
      <c r="AH60" s="14"/>
      <c r="AI60" s="14"/>
      <c r="AJ60" s="14"/>
      <c r="AK60" s="14"/>
      <c r="AL60" s="14"/>
      <c r="AM60" s="14"/>
      <c r="AN60" s="14"/>
      <c r="AO60" s="14"/>
      <c r="AP60" s="14"/>
      <c r="AQ60" s="14"/>
      <c r="AR60" s="14"/>
      <c r="AS60" s="14"/>
      <c r="AT60" s="15"/>
      <c r="AU60" s="45"/>
      <c r="AV60" s="267" t="s">
        <v>255</v>
      </c>
      <c r="AW60" s="267"/>
      <c r="AX60" s="288" t="s">
        <v>256</v>
      </c>
      <c r="AY60" s="288"/>
      <c r="AZ60" s="287" t="s">
        <v>257</v>
      </c>
      <c r="BA60" s="287"/>
      <c r="BB60" s="287" t="s">
        <v>258</v>
      </c>
      <c r="BC60" s="287"/>
      <c r="BD60" s="287"/>
      <c r="BE60" s="287"/>
      <c r="BF60" s="287"/>
      <c r="BG60" s="287"/>
      <c r="BH60" s="287"/>
      <c r="BI60" s="287"/>
      <c r="BJ60" s="287"/>
      <c r="BK60" s="287"/>
      <c r="BL60" s="299"/>
      <c r="BM60" s="300"/>
      <c r="BN60" s="300"/>
      <c r="BO60" s="300"/>
      <c r="BP60" s="300"/>
      <c r="BQ60" s="300"/>
      <c r="BR60" s="300"/>
      <c r="BS60" s="301"/>
    </row>
    <row r="61" spans="2:71" ht="22.5" customHeight="1" x14ac:dyDescent="0.25">
      <c r="C61" s="242"/>
      <c r="F61" s="127"/>
      <c r="H61" s="243"/>
      <c r="I61" s="243"/>
      <c r="K61" s="243"/>
      <c r="Q61" s="229"/>
      <c r="R61" s="229"/>
      <c r="AB61" s="350"/>
      <c r="AC61" s="351"/>
      <c r="AD61" s="351"/>
      <c r="AE61" s="351"/>
      <c r="AF61" s="351"/>
      <c r="AG61" s="351"/>
      <c r="AH61" s="351"/>
      <c r="AI61" s="351"/>
      <c r="AJ61" s="351"/>
      <c r="AK61" s="351"/>
      <c r="AL61" s="351"/>
      <c r="AM61" s="351"/>
      <c r="AN61" s="351"/>
      <c r="AO61" s="351"/>
      <c r="AP61" s="351"/>
      <c r="AQ61" s="351"/>
      <c r="AR61" s="351"/>
      <c r="AS61" s="351"/>
      <c r="AT61" s="352"/>
      <c r="AU61" s="44"/>
      <c r="AV61" s="267"/>
      <c r="AW61" s="267"/>
      <c r="AX61" s="288"/>
      <c r="AY61" s="288"/>
      <c r="AZ61" s="287"/>
      <c r="BA61" s="287"/>
      <c r="BB61" s="287"/>
      <c r="BC61" s="287"/>
      <c r="BD61" s="287"/>
      <c r="BE61" s="287"/>
      <c r="BF61" s="287"/>
      <c r="BG61" s="287"/>
      <c r="BH61" s="287"/>
      <c r="BI61" s="287"/>
      <c r="BJ61" s="287"/>
      <c r="BK61" s="287"/>
      <c r="BL61" s="302"/>
      <c r="BM61" s="303"/>
      <c r="BN61" s="303"/>
      <c r="BO61" s="303"/>
      <c r="BP61" s="303"/>
      <c r="BQ61" s="303"/>
      <c r="BR61" s="303"/>
      <c r="BS61" s="304"/>
    </row>
    <row r="62" spans="2:71" ht="22.5" customHeight="1" x14ac:dyDescent="0.25">
      <c r="AB62" s="345"/>
      <c r="AC62" s="346"/>
      <c r="AD62" s="346"/>
      <c r="AE62" s="346"/>
      <c r="AF62" s="346"/>
      <c r="AG62" s="346"/>
      <c r="AH62" s="346"/>
      <c r="AI62" s="346"/>
      <c r="AJ62" s="346"/>
      <c r="AK62" s="346"/>
      <c r="AL62" s="346"/>
      <c r="AM62" s="346"/>
      <c r="AN62" s="346"/>
      <c r="AO62" s="346"/>
      <c r="AP62" s="346"/>
      <c r="AQ62" s="346"/>
      <c r="AR62" s="346"/>
      <c r="AS62" s="346"/>
      <c r="AT62" s="347"/>
      <c r="AU62" s="44"/>
      <c r="AV62" s="267"/>
      <c r="AW62" s="267"/>
      <c r="AX62" s="288"/>
      <c r="AY62" s="288"/>
      <c r="AZ62" s="287"/>
      <c r="BA62" s="287"/>
      <c r="BB62" s="287"/>
      <c r="BC62" s="287"/>
      <c r="BD62" s="287"/>
      <c r="BE62" s="287"/>
      <c r="BF62" s="287"/>
      <c r="BG62" s="287"/>
      <c r="BH62" s="287"/>
      <c r="BI62" s="287"/>
      <c r="BJ62" s="287"/>
      <c r="BK62" s="287"/>
      <c r="BL62" s="305"/>
      <c r="BM62" s="306"/>
      <c r="BN62" s="306"/>
      <c r="BO62" s="306"/>
      <c r="BP62" s="306"/>
      <c r="BQ62" s="306"/>
      <c r="BR62" s="306"/>
      <c r="BS62" s="307"/>
    </row>
    <row r="63" spans="2:71" ht="22.5" customHeight="1" x14ac:dyDescent="0.25">
      <c r="AB63" s="345"/>
      <c r="AC63" s="346"/>
      <c r="AD63" s="346"/>
      <c r="AE63" s="346"/>
      <c r="AF63" s="346"/>
      <c r="AG63" s="346"/>
      <c r="AH63" s="346"/>
      <c r="AI63" s="346"/>
      <c r="AJ63" s="346"/>
      <c r="AK63" s="346"/>
      <c r="AL63" s="346"/>
      <c r="AM63" s="346"/>
      <c r="AN63" s="346"/>
      <c r="AO63" s="346"/>
      <c r="AP63" s="346"/>
      <c r="AQ63" s="346"/>
      <c r="AR63" s="346"/>
      <c r="AS63" s="346"/>
      <c r="AT63" s="347"/>
      <c r="AU63" s="44"/>
      <c r="AV63" s="44"/>
      <c r="AW63" s="44"/>
      <c r="AX63" s="44"/>
    </row>
    <row r="64" spans="2:71" ht="22.5" customHeight="1" x14ac:dyDescent="0.25">
      <c r="AB64" s="338"/>
      <c r="AC64" s="339"/>
      <c r="AD64" s="339"/>
      <c r="AE64" s="339"/>
      <c r="AF64" s="339"/>
      <c r="AG64" s="339"/>
      <c r="AH64" s="339"/>
      <c r="AI64" s="339"/>
      <c r="AJ64" s="339"/>
      <c r="AK64" s="339"/>
      <c r="AL64" s="339"/>
      <c r="AM64" s="339"/>
      <c r="AN64" s="339"/>
      <c r="AO64" s="339"/>
      <c r="AP64" s="339"/>
      <c r="AQ64" s="339"/>
      <c r="AR64" s="339"/>
      <c r="AS64" s="339"/>
      <c r="AT64" s="340"/>
      <c r="AU64" s="44"/>
      <c r="AV64" s="44"/>
    </row>
    <row r="65" spans="3:71" ht="22.5" customHeight="1" x14ac:dyDescent="0.25"/>
    <row r="66" spans="3:71" ht="22.5" customHeight="1" x14ac:dyDescent="0.25"/>
    <row r="67" spans="3:71" ht="82.5" customHeight="1" x14ac:dyDescent="0.25">
      <c r="C67" s="120" t="s">
        <v>259</v>
      </c>
      <c r="D67" s="121" t="str">
        <f>VLOOKUP($E$11,Plan1!$B$29:$Z$46,2,FALSE)</f>
        <v>301072_M54_PI_306B</v>
      </c>
      <c r="E67" s="121" t="str">
        <f>VLOOKUP($E$11,Plan1!$B$29:$Z$46,3,FALSE)</f>
        <v>301072_M54_TI_306B</v>
      </c>
      <c r="F67" s="121" t="str">
        <f>VLOOKUP($E$11,Plan1!$B$29:$Z$46,4,FALSE)</f>
        <v>301072_M54_PI_306A</v>
      </c>
      <c r="G67" s="121" t="str">
        <f>VLOOKUP($E$11,Plan1!$B$29:$Z$46,5,FALSE)</f>
        <v>301072_M54_TI_306A</v>
      </c>
      <c r="H67" s="121" t="str">
        <f>VLOOKUP($E$11,Plan1!$B$29:$Z$46,6,FALSE)</f>
        <v>301072_M54_PI_306C</v>
      </c>
      <c r="I67" s="121"/>
      <c r="J67" s="121"/>
      <c r="K67" s="121"/>
      <c r="L67" s="121"/>
      <c r="M67" s="121"/>
      <c r="N67" s="121" t="str">
        <f>VLOOKUP($E$11,Plan1!$B$29:$Z$46,7,FALSE)</f>
        <v>301072_T61_PSI_033</v>
      </c>
      <c r="O67" s="121"/>
      <c r="P67" s="121" t="s">
        <v>260</v>
      </c>
      <c r="Q67" s="121" t="str">
        <f>VLOOKUP($E$11,Plan1!$B$29:$Z$46,8,FALSE)</f>
        <v>301072_T61_TI_035</v>
      </c>
      <c r="R67" s="121" t="str">
        <f>VLOOKUP($E$11,Plan1!$B$29:$Z$46,9,FALSE)</f>
        <v>301072_T61_FCV_034_MV</v>
      </c>
      <c r="S67" s="121" t="s">
        <v>261</v>
      </c>
      <c r="T67" s="121" t="s">
        <v>262</v>
      </c>
      <c r="U67" s="121"/>
      <c r="V67" s="121"/>
      <c r="W67" s="121"/>
      <c r="X67" s="121" t="s">
        <v>263</v>
      </c>
      <c r="Y67" s="121" t="s">
        <v>264</v>
      </c>
      <c r="Z67" s="121"/>
      <c r="AA67" s="121" t="str">
        <f>IF(E12="BCS/BCSS","",VLOOKUP($E$11,Plan1!$B$29:$Z$46,23,FALSE))</f>
        <v/>
      </c>
      <c r="AB67" s="121" t="str">
        <f>IF(E12="BCS/BCSS","",VLOOKUP($E$11,Plan1!$B$29:$Z$46,21,FALSE))</f>
        <v/>
      </c>
      <c r="AC67" s="121" t="str">
        <f>IF(E12="BCS/BCSS","",VLOOKUP($E$11,Plan1!$B$29:$Z$46,19,FALSE))</f>
        <v/>
      </c>
      <c r="AD67" s="121" t="str">
        <f>IF(E12="BCS/BCSS","",VLOOKUP($E$11,Plan1!$B$29:$Z$46,20,FALSE))</f>
        <v/>
      </c>
      <c r="AE67" s="121" t="str">
        <f>IF(E12="BCS/BCSS","",VLOOKUP($E$11,Plan1!$B$29:$Z$46,21,FALSE))</f>
        <v/>
      </c>
      <c r="AF67" s="121"/>
      <c r="AG67" s="121" t="str">
        <f>IF(E12="BCS/BCSS","",VLOOKUP($E$11,Plan1!$B$29:$Z$46,22,FALSE))</f>
        <v/>
      </c>
      <c r="AH67" s="121"/>
      <c r="AI67" s="121"/>
      <c r="AJ67" s="121"/>
      <c r="AK67" s="121"/>
      <c r="AL67" s="121"/>
      <c r="AM67" s="121" t="str">
        <f>IF(E12="BCS/BCSS",VLOOKUP($E$11,Plan1!$B$29:$Z$46,10,FALSE),"")</f>
        <v>301072_m54_PI_103_E</v>
      </c>
      <c r="AN67" s="121" t="str">
        <f>IF(E12="BCS/BCSS",VLOOKUP($E$11,Plan1!$B$29:$Z$46,11,FALSE),"")</f>
        <v>301072_M54_TI_105_E</v>
      </c>
      <c r="AO67" s="121" t="str">
        <f>IF(E12="BCS/BCSS",VLOOKUP($E$11,Plan1!$B$29:$Z$46,12,FALSE),"")</f>
        <v>301072_M54_PI_104_E</v>
      </c>
      <c r="AP67" s="121"/>
      <c r="AQ67" s="121" t="str">
        <f>IF(E12="BCS/BCSS",VLOOKUP($E$11,Plan1!$B$29:$Z$46,15,FALSE),"")</f>
        <v>301072_JUB27_TI_MOTOR</v>
      </c>
      <c r="AR67" s="121" t="str">
        <f>IF(E12="BCS/BCSS",VLOOKUP($E$11,Plan1!$B$29:$Z$46,13,FALSE),"")</f>
        <v>301072_M54_IQI_117_E</v>
      </c>
      <c r="AS67" s="121" t="str">
        <f>IF(E12="BCS/BCSS",VLOOKUP($E$11,Plan1!$B$29:$Z$46,17,FALSE),"")</f>
        <v>301072_JUB27_JI_OUT</v>
      </c>
      <c r="AT67" s="121" t="str">
        <f>IF(E12="BCS/BCSS",VLOOKUP($E$11,Plan1!$B$29:$Z$46,16,FALSE),"")</f>
        <v>301072_JUB27_EI_OUT</v>
      </c>
      <c r="AU67" s="121" t="str">
        <f>IF(E12="BCS/BCSS",VLOOKUP($E$11,Plan1!$B$29:$Z$46,14,FALSE),"")</f>
        <v>301072_M54_SI_111_E</v>
      </c>
      <c r="AV67" s="118"/>
      <c r="AW67" s="118" t="s">
        <v>265</v>
      </c>
      <c r="AX67" s="118"/>
      <c r="AY67" s="118"/>
      <c r="AZ67" s="121" t="s">
        <v>266</v>
      </c>
      <c r="BA67" s="121" t="s">
        <v>262</v>
      </c>
      <c r="BB67" s="121" t="s">
        <v>267</v>
      </c>
      <c r="BC67" s="121" t="s">
        <v>268</v>
      </c>
      <c r="BD67" s="121"/>
      <c r="BE67" s="121"/>
      <c r="BF67" s="111"/>
      <c r="BG67" s="111" t="s">
        <v>263</v>
      </c>
      <c r="BH67" s="121"/>
      <c r="BI67" s="121"/>
      <c r="BJ67" s="121"/>
      <c r="BK67" s="121"/>
      <c r="BL67" s="112"/>
      <c r="BM67" s="112" t="s">
        <v>264</v>
      </c>
      <c r="BN67" s="121" t="s">
        <v>269</v>
      </c>
      <c r="BO67" s="121" t="s">
        <v>270</v>
      </c>
      <c r="BP67" s="121"/>
      <c r="BQ67" s="121" t="str">
        <f>IF(F12="BCS/BCSS","",VLOOKUP($E$11,Plan1!$B$29:$Z$46,19,FALSE))</f>
        <v>301072_T73_FQI_061_HORA_ANT</v>
      </c>
      <c r="BR67" s="121" t="str">
        <f>IF(E12="BCS/BCSS","",VLOOKUP($E$11,Plan1!$B$29:$Z$46,24,FALSE))</f>
        <v/>
      </c>
      <c r="BS67" s="121" t="str">
        <f>IF(E12="BCS/BCSS","",VLOOKUP($E$11,Plan1!$B$29:$Z$46,25,FALSE))</f>
        <v/>
      </c>
    </row>
    <row r="68" spans="3:71" ht="82.5" customHeight="1" x14ac:dyDescent="0.25">
      <c r="C68" s="120" t="s">
        <v>271</v>
      </c>
      <c r="D68" s="119" t="str">
        <f>_xll.PITagAtt(D67,"descriptor","sesaupi01")</f>
        <v>P-57: 7-JUB-27HP-ESS - PDG Pressão</v>
      </c>
      <c r="E68" s="119" t="str">
        <f>_xll.PITagAtt(E67,"descriptor","sesaupi01")</f>
        <v>P-57: 7-JUB-27HP-ESS - PDG Temperatura</v>
      </c>
      <c r="F68" s="119" t="str">
        <f>_xll.PITagAtt(F67,"descriptor","sesaupi01")</f>
        <v>P-57: 7-JUB-27HP-ESS - TPT Pressão</v>
      </c>
      <c r="G68" s="119" t="str">
        <f>_xll.PITagAtt(G67,"descriptor","sesaupi01")</f>
        <v>P-57: 7-JUB-27HP-ESS - TPT Temperatura</v>
      </c>
      <c r="H68" s="119" t="str">
        <f>_xll.PITagAtt(H67,"descriptor","sesaupi01")</f>
        <v>P-57: 7-JUB-27HP-ESS - PT de anular</v>
      </c>
      <c r="I68" s="119"/>
      <c r="J68" s="119"/>
      <c r="K68" s="119"/>
      <c r="L68" s="119"/>
      <c r="M68" s="119"/>
      <c r="N68" s="119" t="str">
        <f>_xll.PITagAtt(N67,"descriptor","sesaupi01")</f>
        <v>P-57: 7-JUB-27 - Pressão de chegada</v>
      </c>
      <c r="O68" s="119"/>
      <c r="P68" s="119" t="str">
        <f>_xll.PITagAtt(P67,"descriptor","sesaupi01")</f>
        <v>P-57: T61 - Pressão header de teste</v>
      </c>
      <c r="Q68" s="119" t="str">
        <f>_xll.PITagAtt(Q67,"descriptor","sesaupi01")</f>
        <v>P-57: 7-JUB-27 - Temperatura de chegada</v>
      </c>
      <c r="R68" s="119" t="str">
        <f>_xll.PITagAtt(R67,"descriptor","sesaupi01")</f>
        <v>P-57: 7-JUB-27 - Choke de produção</v>
      </c>
      <c r="S68" s="119" t="str">
        <f>_xll.PITagAtt(S67,"descriptor","sesaupi01")</f>
        <v>P-57: V-T6206 - Pressão Separador de teste</v>
      </c>
      <c r="T68" s="119" t="str">
        <f>_xll.PITagAtt(T67,"descriptor","sesaupi01")</f>
        <v>P-57: V-T6206 - Temperatura média de óleo na hora anterior</v>
      </c>
      <c r="U68" s="119" t="str">
        <f>_xll.PITagAtt(U67,"descriptor","sesaupi01")</f>
        <v>Tag não encontrada</v>
      </c>
      <c r="V68" s="119" t="str">
        <f>_xll.PITagAtt(V67,"descriptor","sesaupi01")</f>
        <v>Tag não encontrada</v>
      </c>
      <c r="W68" s="119" t="str">
        <f>_xll.PITagAtt(W67,"descriptor","sesaupi01")</f>
        <v>Tag não encontrada</v>
      </c>
      <c r="X68" s="119" t="str">
        <f>_xll.PITagAtt(X67,"descriptor","sesaupi01")</f>
        <v>P-57: V-T6206 - Volume de água na hora anterior</v>
      </c>
      <c r="Y68" s="119" t="str">
        <f>_xll.PITagAtt(Y67,"descriptor","sesaupi01")</f>
        <v>P-57: V-T6206 - Volume de gás nas condições de referência na hora anterior (SV)</v>
      </c>
      <c r="Z68" s="119" t="str">
        <f>_xll.PITagAtt(Z67,"descriptor","sesaupi01")</f>
        <v>Tag não encontrada</v>
      </c>
      <c r="AA68" s="119" t="str">
        <f>_xll.PITagAtt(AA67,"descriptor","sesaupi01")</f>
        <v>Tag não encontrada</v>
      </c>
      <c r="AB68" s="119" t="str">
        <f>_xll.PITagAtt(AB67,"descriptor","sesaupi01")</f>
        <v>Tag não encontrada</v>
      </c>
      <c r="AC68" s="119" t="str">
        <f>_xll.PITagAtt(AC67,"descriptor","sesaupi01")</f>
        <v>Tag não encontrada</v>
      </c>
      <c r="AD68" s="119" t="str">
        <f>_xll.PITagAtt(AD67,"descriptor","sesaupi01")</f>
        <v>Tag não encontrada</v>
      </c>
      <c r="AE68" s="119" t="str">
        <f>_xll.PITagAtt(AE67,"descriptor","sesaupi01")</f>
        <v>Tag não encontrada</v>
      </c>
      <c r="AF68" s="119" t="str">
        <f>_xll.PITagAtt(AF67,"descriptor","sesaupi01")</f>
        <v>Tag não encontrada</v>
      </c>
      <c r="AG68" s="119" t="str">
        <f>_xll.PITagAtt(AG67,"descriptor","sesaupi01")</f>
        <v>Tag não encontrada</v>
      </c>
      <c r="AH68" s="119"/>
      <c r="AI68" s="119"/>
      <c r="AJ68" s="119"/>
      <c r="AK68" s="119"/>
      <c r="AL68" s="119"/>
      <c r="AM68" s="119" t="str">
        <f>_xll.PITagAtt(AM67,"descriptor","sesaupi01")</f>
        <v>P-57: 7-JUB-27 - Pressão sucção BCSS</v>
      </c>
      <c r="AN68" s="119" t="str">
        <f>_xll.PITagAtt(AN67,"descriptor","sesaupi01")</f>
        <v>P-57: 7-JUB-27 - Temperatura sucção BCSS</v>
      </c>
      <c r="AO68" s="119" t="str">
        <f>_xll.PITagAtt(AO67,"descriptor","sesaupi01")</f>
        <v>P-57: 7-JUB-27 - Pressão descarga BCSS</v>
      </c>
      <c r="AP68" s="119"/>
      <c r="AQ68" s="119" t="str">
        <f>_xll.PITagAtt(AQ67,"descriptor","sesaupi01")</f>
        <v>Tag não encontrada</v>
      </c>
      <c r="AR68" s="119" t="str">
        <f>_xll.PITagAtt(AR67,"descriptor","sesaupi01")</f>
        <v>P-57: 7-JUB-27 - Corrente Total da BCSS</v>
      </c>
      <c r="AS68" s="119" t="str">
        <f>_xll.PITagAtt(AS67,"descriptor","sesaupi01")</f>
        <v>Tag não encontrada</v>
      </c>
      <c r="AT68" s="119" t="str">
        <f>_xll.PITagAtt(AT67,"descriptor","sesaupi01")</f>
        <v>Tag não encontrada</v>
      </c>
      <c r="AU68" s="119" t="str">
        <f>_xll.PITagAtt(AU67,"descriptor","sesaupi01")</f>
        <v>P-57: 7-JUB-27 - Frequência BCSS-4</v>
      </c>
      <c r="AV68" s="119"/>
      <c r="AW68" s="119" t="str">
        <f>_xll.PITagAtt(AW67,"descriptor","sesaupi01")</f>
        <v>P-57: V-T6206 - Volume bruto de óleo nas condições de referência na hora anterior (SV)</v>
      </c>
      <c r="AX68" s="119"/>
      <c r="AY68" s="119"/>
      <c r="AZ68" s="119" t="str">
        <f>_xll.PITagAtt(AZ67,"descriptor","sesaupi01")</f>
        <v>P-57: V-T6206 - Pressão média de óleo na hora anterior</v>
      </c>
      <c r="BA68" s="119" t="str">
        <f>_xll.PITagAtt(BA67,"descriptor","sesaupi01")</f>
        <v>P-57: V-T6206 - Temperatura média de óleo na hora anterior</v>
      </c>
      <c r="BB68" s="119" t="str">
        <f>_xll.PITagAtt(BB67,"descriptor","sesaupi01")</f>
        <v>P-57: EMED - Tramo A - CPL médio no dia anterior</v>
      </c>
      <c r="BC68" s="119" t="str">
        <f>_xll.PITagAtt(BC67,"descriptor","sesaupi01")</f>
        <v>P-57: EMED - Tramo A - CTL médio no dia anterior</v>
      </c>
      <c r="BD68" s="119"/>
      <c r="BE68" s="119"/>
      <c r="BF68" s="119"/>
      <c r="BG68" s="119" t="str">
        <f>_xll.PITagAtt(BG67,"descriptor","sesaupi01")</f>
        <v>P-57: V-T6206 - Volume de água na hora anterior</v>
      </c>
      <c r="BH68" s="119"/>
      <c r="BI68" s="119"/>
      <c r="BJ68" s="119"/>
      <c r="BK68" s="119"/>
      <c r="BL68" s="119"/>
      <c r="BM68" s="119" t="str">
        <f>_xll.PITagAtt(BM67,"descriptor","sesaupi01")</f>
        <v>P-57: V-T6206 - Volume de gás nas condições de referência na hora anterior (SV)</v>
      </c>
      <c r="BN68" s="119"/>
      <c r="BO68" s="119"/>
      <c r="BP68" s="119"/>
      <c r="BQ68" s="119" t="str">
        <f>_xll.PITagAtt(BQ67,"descriptor","sesaupi01")</f>
        <v>P-57: 7-JUB-27: Volume de gas lift na hora anterior</v>
      </c>
      <c r="BR68" s="119" t="str">
        <f>_xll.PITagAtt(BR67,"descriptor","sesaupi01")</f>
        <v>Tag não encontrada</v>
      </c>
      <c r="BS68" s="119" t="str">
        <f>_xll.PITagAtt(BS67,"descriptor","sesaupi01")</f>
        <v>Tag não encontrada</v>
      </c>
    </row>
    <row r="69" spans="3:71" ht="22.5" customHeight="1" x14ac:dyDescent="0.25"/>
    <row r="70" spans="3:71" ht="22.5" customHeight="1" x14ac:dyDescent="0.25"/>
    <row r="71" spans="3:71" ht="22.5" customHeight="1" x14ac:dyDescent="0.25"/>
    <row r="72" spans="3:71" ht="45" customHeight="1" x14ac:dyDescent="0.4">
      <c r="C72" s="348"/>
      <c r="D72" s="349" t="s">
        <v>272</v>
      </c>
      <c r="E72" s="349"/>
      <c r="F72" s="349"/>
      <c r="G72" s="349"/>
      <c r="H72" s="349"/>
      <c r="I72" s="349"/>
      <c r="J72" s="349"/>
      <c r="K72" s="295"/>
      <c r="L72" s="295"/>
      <c r="M72" s="295"/>
      <c r="N72" s="295"/>
      <c r="O72" s="295"/>
      <c r="P72" s="295"/>
      <c r="Q72" s="295"/>
      <c r="R72" s="295"/>
      <c r="S72" s="295"/>
      <c r="T72"/>
    </row>
    <row r="73" spans="3:71" ht="47.25" customHeight="1" x14ac:dyDescent="0.3">
      <c r="C73" s="348"/>
      <c r="D73" s="122" t="s">
        <v>273</v>
      </c>
      <c r="E73" s="225" t="s">
        <v>274</v>
      </c>
      <c r="F73" s="122" t="s">
        <v>275</v>
      </c>
      <c r="G73" s="122" t="s">
        <v>276</v>
      </c>
      <c r="H73" s="122" t="s">
        <v>277</v>
      </c>
      <c r="I73" s="122" t="s">
        <v>278</v>
      </c>
      <c r="J73" s="225" t="s">
        <v>279</v>
      </c>
      <c r="K73" s="295"/>
      <c r="L73" s="295"/>
      <c r="M73" s="295"/>
      <c r="N73" s="295"/>
      <c r="O73" s="295"/>
      <c r="P73" s="295"/>
      <c r="Q73" s="295"/>
      <c r="R73" s="295"/>
      <c r="S73" s="295"/>
      <c r="T73"/>
    </row>
    <row r="74" spans="3:71" ht="50.25" customHeight="1" x14ac:dyDescent="0.35">
      <c r="C74" s="231" t="s">
        <v>280</v>
      </c>
      <c r="D74" s="226"/>
      <c r="E74" s="250">
        <f>U53-(1/30)*U53+80/30</f>
        <v>34.663333333333334</v>
      </c>
      <c r="F74" s="227">
        <f>(MAX(N29:N52)-AVERAGE(N29:N52))</f>
        <v>0.21021791637117815</v>
      </c>
      <c r="G74" s="227"/>
      <c r="H74" s="227" t="str">
        <f>IF(AC29=0,"-",(MAX(AC29:AC52)-AVERAGE(AC29:AC52))/AVERAGE(AC29:AC52))</f>
        <v>-</v>
      </c>
      <c r="I74" s="228"/>
      <c r="J74" s="226">
        <f>X53+2%*X53</f>
        <v>156.10080000000002</v>
      </c>
      <c r="K74" s="295"/>
      <c r="L74" s="295"/>
      <c r="M74" s="295"/>
      <c r="N74" s="295"/>
      <c r="O74" s="295"/>
      <c r="P74" s="295"/>
      <c r="Q74" s="295"/>
      <c r="R74" s="295"/>
      <c r="S74" s="295"/>
      <c r="T74"/>
    </row>
    <row r="75" spans="3:71" ht="52.5" customHeight="1" x14ac:dyDescent="0.35">
      <c r="C75" s="231" t="s">
        <v>281</v>
      </c>
      <c r="D75" s="226"/>
      <c r="E75" s="250">
        <f>U53+(1/30)*U53-80/30</f>
        <v>31.536666666666665</v>
      </c>
      <c r="F75" s="227">
        <f>(AVERAGE(N29:N52)-MIN(N29:N52))</f>
        <v>0.15825138158477614</v>
      </c>
      <c r="G75" s="227"/>
      <c r="H75" s="227" t="str">
        <f>IF(AC29=0,"-",(AVERAGE(AC29:AC52)-MIN(AC29:AC52))/AVERAGE(AC29:AC52))</f>
        <v>-</v>
      </c>
      <c r="I75" s="228"/>
      <c r="J75" s="226">
        <f>X53-2%*X53</f>
        <v>149.97920000000002</v>
      </c>
      <c r="K75" s="295"/>
      <c r="L75" s="295"/>
      <c r="M75" s="295"/>
      <c r="N75" s="295"/>
      <c r="O75" s="295"/>
      <c r="P75" s="295"/>
      <c r="Q75" s="295"/>
      <c r="R75" s="295"/>
      <c r="S75" s="295"/>
      <c r="T75"/>
    </row>
    <row r="76" spans="3:71" ht="22.5" customHeight="1" x14ac:dyDescent="0.25">
      <c r="K76" s="295"/>
      <c r="L76" s="295"/>
      <c r="M76" s="295"/>
      <c r="N76" s="295"/>
      <c r="O76" s="295"/>
      <c r="P76" s="295"/>
      <c r="Q76" s="295"/>
      <c r="R76" s="295"/>
      <c r="S76" s="295"/>
      <c r="T76"/>
    </row>
    <row r="77" spans="3:71" ht="22.5" customHeight="1" x14ac:dyDescent="0.25">
      <c r="K77" s="295"/>
      <c r="L77" s="295"/>
      <c r="M77" s="295"/>
      <c r="N77" s="295"/>
      <c r="O77" s="295"/>
      <c r="P77" s="295"/>
      <c r="Q77" s="295"/>
      <c r="R77" s="295"/>
      <c r="S77" s="295"/>
      <c r="T77"/>
    </row>
    <row r="78" spans="3:71" ht="22.5" customHeight="1" x14ac:dyDescent="0.25">
      <c r="K78" s="295"/>
      <c r="L78" s="295"/>
      <c r="M78" s="295"/>
      <c r="N78" s="295"/>
      <c r="O78" s="295"/>
      <c r="P78" s="295"/>
      <c r="Q78" s="295"/>
      <c r="R78" s="295"/>
      <c r="S78" s="295"/>
      <c r="T78"/>
    </row>
    <row r="79" spans="3:71" ht="22.5" customHeight="1" x14ac:dyDescent="0.25">
      <c r="K79" s="295"/>
      <c r="L79" s="295"/>
      <c r="M79" s="295"/>
      <c r="N79" s="295"/>
      <c r="O79" s="295"/>
      <c r="P79" s="295"/>
      <c r="Q79" s="295"/>
      <c r="R79" s="295"/>
      <c r="S79" s="295"/>
      <c r="T79"/>
    </row>
    <row r="80" spans="3:71" ht="22.5" customHeight="1" x14ac:dyDescent="0.25">
      <c r="K80" s="295"/>
      <c r="L80" s="295"/>
      <c r="M80" s="295"/>
      <c r="N80" s="295"/>
      <c r="O80" s="295"/>
      <c r="P80" s="295"/>
      <c r="Q80" s="295"/>
      <c r="R80" s="295"/>
      <c r="S80" s="295"/>
      <c r="T80"/>
    </row>
    <row r="81" spans="7:33" ht="22.5" customHeight="1" x14ac:dyDescent="0.25">
      <c r="K81" s="295"/>
      <c r="L81" s="295"/>
      <c r="M81" s="295"/>
      <c r="N81" s="295"/>
      <c r="O81" s="295"/>
      <c r="P81" s="295"/>
      <c r="Q81" s="295"/>
      <c r="R81" s="295"/>
      <c r="S81" s="295"/>
      <c r="T81"/>
    </row>
    <row r="82" spans="7:33" ht="22.5" customHeight="1" x14ac:dyDescent="0.25">
      <c r="K82" s="295"/>
      <c r="L82" s="295"/>
      <c r="M82" s="295"/>
      <c r="N82" s="295"/>
      <c r="O82" s="295"/>
      <c r="P82" s="295"/>
      <c r="Q82" s="295"/>
      <c r="R82" s="295"/>
      <c r="S82" s="295"/>
      <c r="T82"/>
    </row>
    <row r="83" spans="7:33" x14ac:dyDescent="0.25">
      <c r="K83" s="295"/>
      <c r="L83" s="295"/>
      <c r="M83" s="295"/>
      <c r="N83" s="295"/>
      <c r="O83" s="295"/>
      <c r="P83" s="295"/>
      <c r="Q83" s="295"/>
      <c r="R83" s="295"/>
      <c r="S83" s="295"/>
      <c r="T83"/>
    </row>
    <row r="84" spans="7:33" x14ac:dyDescent="0.25">
      <c r="K84" s="295"/>
      <c r="L84" s="295"/>
      <c r="M84" s="295"/>
      <c r="N84" s="295"/>
      <c r="O84" s="295"/>
      <c r="P84" s="295"/>
      <c r="Q84" s="295"/>
      <c r="R84" s="295"/>
      <c r="S84" s="295"/>
      <c r="T84"/>
    </row>
    <row r="86" spans="7:33" ht="13.8" x14ac:dyDescent="0.25">
      <c r="G86" s="335"/>
      <c r="H86" s="335"/>
      <c r="I86" s="335"/>
    </row>
    <row r="87" spans="7:33" ht="13.8" x14ac:dyDescent="0.25">
      <c r="G87" s="335"/>
      <c r="H87" s="335"/>
      <c r="I87" s="335"/>
    </row>
    <row r="88" spans="7:33" x14ac:dyDescent="0.25">
      <c r="AB88" s="16"/>
      <c r="AG88" s="16"/>
    </row>
    <row r="89" spans="7:33" x14ac:dyDescent="0.25">
      <c r="AB89" s="16"/>
      <c r="AG89" s="16"/>
    </row>
    <row r="90" spans="7:33" x14ac:dyDescent="0.25">
      <c r="AB90" s="16"/>
      <c r="AG90" s="16"/>
    </row>
    <row r="91" spans="7:33" x14ac:dyDescent="0.25">
      <c r="AB91" s="16"/>
      <c r="AG91" s="16"/>
    </row>
    <row r="92" spans="7:33" x14ac:dyDescent="0.25">
      <c r="AB92" s="16"/>
      <c r="AG92" s="16"/>
    </row>
    <row r="100" spans="29:31" ht="13.8" x14ac:dyDescent="0.25">
      <c r="AC100" s="337"/>
      <c r="AD100" s="337"/>
      <c r="AE100" s="337"/>
    </row>
    <row r="101" spans="29:31" ht="13.8" x14ac:dyDescent="0.25">
      <c r="AC101" s="335"/>
      <c r="AD101" s="335"/>
      <c r="AE101" s="335"/>
    </row>
    <row r="102" spans="29:31" ht="13.8" x14ac:dyDescent="0.25">
      <c r="AC102" s="335"/>
      <c r="AD102" s="335"/>
      <c r="AE102" s="335"/>
    </row>
    <row r="103" spans="29:31" ht="13.8" x14ac:dyDescent="0.25">
      <c r="AC103" s="335"/>
      <c r="AD103" s="335"/>
      <c r="AE103" s="335"/>
    </row>
    <row r="104" spans="29:31" ht="13.8" x14ac:dyDescent="0.25">
      <c r="AC104" s="335"/>
      <c r="AD104" s="335"/>
      <c r="AE104" s="335"/>
    </row>
  </sheetData>
  <mergeCells count="340">
    <mergeCell ref="B39:C39"/>
    <mergeCell ref="B40:C40"/>
    <mergeCell ref="B38:C38"/>
    <mergeCell ref="B29:C29"/>
    <mergeCell ref="B30:C30"/>
    <mergeCell ref="I18:P18"/>
    <mergeCell ref="N19:O19"/>
    <mergeCell ref="N20:O20"/>
    <mergeCell ref="I19:M19"/>
    <mergeCell ref="B31:C31"/>
    <mergeCell ref="B32:C32"/>
    <mergeCell ref="B33:C33"/>
    <mergeCell ref="B4:G5"/>
    <mergeCell ref="AK7:AN7"/>
    <mergeCell ref="AK8:AN8"/>
    <mergeCell ref="AK9:AN9"/>
    <mergeCell ref="AK10:AN10"/>
    <mergeCell ref="AK13:AN13"/>
    <mergeCell ref="AK14:AN14"/>
    <mergeCell ref="AR7:AV7"/>
    <mergeCell ref="AR8:AV8"/>
    <mergeCell ref="AE5:AG5"/>
    <mergeCell ref="AE6:AG6"/>
    <mergeCell ref="AE7:AG7"/>
    <mergeCell ref="AE8:AG8"/>
    <mergeCell ref="AE9:AG9"/>
    <mergeCell ref="AE10:AG10"/>
    <mergeCell ref="R5:X5"/>
    <mergeCell ref="R6:X6"/>
    <mergeCell ref="AR9:AV9"/>
    <mergeCell ref="AR10:AV10"/>
    <mergeCell ref="AO13:AP13"/>
    <mergeCell ref="AO14:AP14"/>
    <mergeCell ref="Y13:Z13"/>
    <mergeCell ref="Y14:Z14"/>
    <mergeCell ref="B6:D6"/>
    <mergeCell ref="AW17:AX17"/>
    <mergeCell ref="AK6:AP6"/>
    <mergeCell ref="AO7:AP7"/>
    <mergeCell ref="AO8:AP8"/>
    <mergeCell ref="AO9:AP9"/>
    <mergeCell ref="I16:J16"/>
    <mergeCell ref="R7:X7"/>
    <mergeCell ref="R8:X8"/>
    <mergeCell ref="R9:X9"/>
    <mergeCell ref="R10:X10"/>
    <mergeCell ref="I11:P11"/>
    <mergeCell ref="R16:S16"/>
    <mergeCell ref="AR11:AV11"/>
    <mergeCell ref="AR12:AV12"/>
    <mergeCell ref="AR13:AV13"/>
    <mergeCell ref="AR14:AV14"/>
    <mergeCell ref="AO10:AP10"/>
    <mergeCell ref="AK12:AP12"/>
    <mergeCell ref="T16:U16"/>
    <mergeCell ref="T14:U14"/>
    <mergeCell ref="T15:U15"/>
    <mergeCell ref="AR17:AV17"/>
    <mergeCell ref="AR16:AX16"/>
    <mergeCell ref="Y16:Z16"/>
    <mergeCell ref="BN6:BS6"/>
    <mergeCell ref="E6:G6"/>
    <mergeCell ref="E7:G7"/>
    <mergeCell ref="E8:G8"/>
    <mergeCell ref="E9:G9"/>
    <mergeCell ref="E10:G10"/>
    <mergeCell ref="E11:G11"/>
    <mergeCell ref="E12:G12"/>
    <mergeCell ref="BD9:BE9"/>
    <mergeCell ref="BD8:BE8"/>
    <mergeCell ref="I7:L7"/>
    <mergeCell ref="AA8:AC8"/>
    <mergeCell ref="AA7:AC7"/>
    <mergeCell ref="M12:P12"/>
    <mergeCell ref="AR6:AX6"/>
    <mergeCell ref="BN12:BQ12"/>
    <mergeCell ref="M10:P10"/>
    <mergeCell ref="B7:D7"/>
    <mergeCell ref="B8:D8"/>
    <mergeCell ref="B9:D9"/>
    <mergeCell ref="AW9:AX9"/>
    <mergeCell ref="R14:S14"/>
    <mergeCell ref="AA6:AC6"/>
    <mergeCell ref="I15:P15"/>
    <mergeCell ref="R12:AA12"/>
    <mergeCell ref="I13:L13"/>
    <mergeCell ref="R15:S15"/>
    <mergeCell ref="W14:X14"/>
    <mergeCell ref="AA9:AC9"/>
    <mergeCell ref="B10:D10"/>
    <mergeCell ref="B11:D11"/>
    <mergeCell ref="B12:D12"/>
    <mergeCell ref="B13:D13"/>
    <mergeCell ref="B14:D14"/>
    <mergeCell ref="B15:D15"/>
    <mergeCell ref="T13:U13"/>
    <mergeCell ref="I9:L9"/>
    <mergeCell ref="Y15:Z15"/>
    <mergeCell ref="W13:X13"/>
    <mergeCell ref="M13:P13"/>
    <mergeCell ref="I10:L10"/>
    <mergeCell ref="BN13:BQ13"/>
    <mergeCell ref="BN14:BQ14"/>
    <mergeCell ref="BN15:BQ15"/>
    <mergeCell ref="AZ17:BE17"/>
    <mergeCell ref="AZ7:BC7"/>
    <mergeCell ref="AZ9:BC9"/>
    <mergeCell ref="AZ10:BC10"/>
    <mergeCell ref="AZ11:BC11"/>
    <mergeCell ref="BG8:BJ8"/>
    <mergeCell ref="BG9:BJ9"/>
    <mergeCell ref="BG10:BJ10"/>
    <mergeCell ref="BG11:BJ11"/>
    <mergeCell ref="BG7:BJ7"/>
    <mergeCell ref="BN11:BQ11"/>
    <mergeCell ref="AZ15:BC15"/>
    <mergeCell ref="BD15:BE15"/>
    <mergeCell ref="BD14:BE14"/>
    <mergeCell ref="BD13:BE13"/>
    <mergeCell ref="BD7:BE7"/>
    <mergeCell ref="BD10:BE10"/>
    <mergeCell ref="BD11:BE11"/>
    <mergeCell ref="M5:P5"/>
    <mergeCell ref="M6:P6"/>
    <mergeCell ref="M7:P7"/>
    <mergeCell ref="M9:P9"/>
    <mergeCell ref="I4:P4"/>
    <mergeCell ref="BN16:BQ16"/>
    <mergeCell ref="BN17:BQ17"/>
    <mergeCell ref="BN18:BQ18"/>
    <mergeCell ref="BG6:BL6"/>
    <mergeCell ref="AK4:BS4"/>
    <mergeCell ref="BD12:BE12"/>
    <mergeCell ref="I6:L6"/>
    <mergeCell ref="R4:AH4"/>
    <mergeCell ref="AA10:AC10"/>
    <mergeCell ref="Y5:Z5"/>
    <mergeCell ref="Y6:Z6"/>
    <mergeCell ref="Y7:Z7"/>
    <mergeCell ref="Y8:Z8"/>
    <mergeCell ref="Y9:Z9"/>
    <mergeCell ref="Y10:Z10"/>
    <mergeCell ref="BD18:BE18"/>
    <mergeCell ref="AA5:AC5"/>
    <mergeCell ref="AW7:AX7"/>
    <mergeCell ref="AW8:AX8"/>
    <mergeCell ref="BN20:BQ20"/>
    <mergeCell ref="BN21:BQ21"/>
    <mergeCell ref="BN22:BQ22"/>
    <mergeCell ref="BR7:BS7"/>
    <mergeCell ref="BR8:BS8"/>
    <mergeCell ref="BR9:BS9"/>
    <mergeCell ref="BR10:BS10"/>
    <mergeCell ref="BR11:BS11"/>
    <mergeCell ref="BR12:BS12"/>
    <mergeCell ref="BR13:BS13"/>
    <mergeCell ref="BR14:BS14"/>
    <mergeCell ref="BR15:BS15"/>
    <mergeCell ref="BR16:BS16"/>
    <mergeCell ref="BR17:BS17"/>
    <mergeCell ref="BR18:BS18"/>
    <mergeCell ref="BR19:BS19"/>
    <mergeCell ref="BR20:BS20"/>
    <mergeCell ref="BR21:BS21"/>
    <mergeCell ref="BR22:BS22"/>
    <mergeCell ref="BN7:BQ7"/>
    <mergeCell ref="BN8:BQ8"/>
    <mergeCell ref="BN9:BQ9"/>
    <mergeCell ref="BN10:BQ10"/>
    <mergeCell ref="BN19:BQ19"/>
    <mergeCell ref="BL60:BS62"/>
    <mergeCell ref="AZ6:BE6"/>
    <mergeCell ref="AZ8:BC8"/>
    <mergeCell ref="BK7:BL7"/>
    <mergeCell ref="BK8:BL8"/>
    <mergeCell ref="BK9:BL9"/>
    <mergeCell ref="BK10:BL10"/>
    <mergeCell ref="BK11:BL11"/>
    <mergeCell ref="BK12:BL12"/>
    <mergeCell ref="BK13:BL13"/>
    <mergeCell ref="BK14:BL14"/>
    <mergeCell ref="BK15:BL15"/>
    <mergeCell ref="BK16:BL16"/>
    <mergeCell ref="BK17:BL17"/>
    <mergeCell ref="BK18:BL18"/>
    <mergeCell ref="BK19:BL19"/>
    <mergeCell ref="AV24:BS24"/>
    <mergeCell ref="BK21:BL21"/>
    <mergeCell ref="BG19:BJ19"/>
    <mergeCell ref="BG20:BJ20"/>
    <mergeCell ref="BG21:BJ21"/>
    <mergeCell ref="BG22:BJ22"/>
    <mergeCell ref="BK22:BL22"/>
    <mergeCell ref="BK20:BL20"/>
    <mergeCell ref="BD20:BE20"/>
    <mergeCell ref="AZ18:BC18"/>
    <mergeCell ref="AZ19:BC19"/>
    <mergeCell ref="AZ20:BC20"/>
    <mergeCell ref="AZ12:BC12"/>
    <mergeCell ref="AZ13:BC13"/>
    <mergeCell ref="AZ14:BC14"/>
    <mergeCell ref="BG12:BJ12"/>
    <mergeCell ref="BG13:BJ13"/>
    <mergeCell ref="BG14:BJ14"/>
    <mergeCell ref="BG15:BJ15"/>
    <mergeCell ref="BG16:BJ16"/>
    <mergeCell ref="BG17:BJ17"/>
    <mergeCell ref="BG18:BJ18"/>
    <mergeCell ref="BD19:BE19"/>
    <mergeCell ref="B2:BS2"/>
    <mergeCell ref="E13:F13"/>
    <mergeCell ref="E14:F14"/>
    <mergeCell ref="E15:F15"/>
    <mergeCell ref="I12:L12"/>
    <mergeCell ref="W16:X16"/>
    <mergeCell ref="W15:X15"/>
    <mergeCell ref="AA26:AB26"/>
    <mergeCell ref="AZ56:BA56"/>
    <mergeCell ref="AW10:AX10"/>
    <mergeCell ref="AW11:AX11"/>
    <mergeCell ref="AW12:AX12"/>
    <mergeCell ref="AW13:AX13"/>
    <mergeCell ref="AW14:AX14"/>
    <mergeCell ref="I20:M20"/>
    <mergeCell ref="I21:M21"/>
    <mergeCell ref="M16:N16"/>
    <mergeCell ref="N25:R25"/>
    <mergeCell ref="N21:O21"/>
    <mergeCell ref="M8:O8"/>
    <mergeCell ref="I5:L5"/>
    <mergeCell ref="R13:S13"/>
    <mergeCell ref="I8:L8"/>
    <mergeCell ref="B49:C49"/>
    <mergeCell ref="G86:I86"/>
    <mergeCell ref="G87:I87"/>
    <mergeCell ref="AC102:AE102"/>
    <mergeCell ref="AC103:AE103"/>
    <mergeCell ref="AC104:AE104"/>
    <mergeCell ref="B57:B58"/>
    <mergeCell ref="AC100:AE100"/>
    <mergeCell ref="AC101:AE101"/>
    <mergeCell ref="AB64:AT64"/>
    <mergeCell ref="C57:D58"/>
    <mergeCell ref="C59:D59"/>
    <mergeCell ref="Q58:R58"/>
    <mergeCell ref="Q59:R59"/>
    <mergeCell ref="S58:T58"/>
    <mergeCell ref="S59:T59"/>
    <mergeCell ref="AB63:AT63"/>
    <mergeCell ref="I58:J58"/>
    <mergeCell ref="I59:J59"/>
    <mergeCell ref="C72:C73"/>
    <mergeCell ref="D72:J72"/>
    <mergeCell ref="AB61:AT61"/>
    <mergeCell ref="AB62:AT62"/>
    <mergeCell ref="K83:S83"/>
    <mergeCell ref="K84:S84"/>
    <mergeCell ref="BP25:BS26"/>
    <mergeCell ref="I25:M25"/>
    <mergeCell ref="B24:C28"/>
    <mergeCell ref="S26:T26"/>
    <mergeCell ref="F25:H26"/>
    <mergeCell ref="N26:O26"/>
    <mergeCell ref="K26:L26"/>
    <mergeCell ref="I24:M24"/>
    <mergeCell ref="P26:Q26"/>
    <mergeCell ref="I26:J26"/>
    <mergeCell ref="D24:E24"/>
    <mergeCell ref="F24:H24"/>
    <mergeCell ref="U26:W26"/>
    <mergeCell ref="Y26:Z26"/>
    <mergeCell ref="S25:Z25"/>
    <mergeCell ref="AA25:AG25"/>
    <mergeCell ref="N24:AG24"/>
    <mergeCell ref="AH24:AL24"/>
    <mergeCell ref="AM24:AU24"/>
    <mergeCell ref="BL25:BO26"/>
    <mergeCell ref="D25:E26"/>
    <mergeCell ref="AD26:AE26"/>
    <mergeCell ref="AH26:AI26"/>
    <mergeCell ref="AJ26:AK26"/>
    <mergeCell ref="BL56:BS56"/>
    <mergeCell ref="BL57:BS59"/>
    <mergeCell ref="AV55:BS55"/>
    <mergeCell ref="E57:L57"/>
    <mergeCell ref="M57:P57"/>
    <mergeCell ref="Q57:T57"/>
    <mergeCell ref="B55:Y56"/>
    <mergeCell ref="B34:C34"/>
    <mergeCell ref="B36:C36"/>
    <mergeCell ref="AB59:AT59"/>
    <mergeCell ref="B41:C41"/>
    <mergeCell ref="B42:C42"/>
    <mergeCell ref="B37:C37"/>
    <mergeCell ref="B43:C43"/>
    <mergeCell ref="B45:C45"/>
    <mergeCell ref="B46:C46"/>
    <mergeCell ref="B47:C47"/>
    <mergeCell ref="B51:C51"/>
    <mergeCell ref="B52:C52"/>
    <mergeCell ref="B53:C53"/>
    <mergeCell ref="B35:C35"/>
    <mergeCell ref="B44:C44"/>
    <mergeCell ref="B50:C50"/>
    <mergeCell ref="B48:C48"/>
    <mergeCell ref="K81:S81"/>
    <mergeCell ref="K82:S82"/>
    <mergeCell ref="K72:S72"/>
    <mergeCell ref="K73:S73"/>
    <mergeCell ref="K74:S74"/>
    <mergeCell ref="K75:S75"/>
    <mergeCell ref="K76:S76"/>
    <mergeCell ref="K77:S77"/>
    <mergeCell ref="K78:S78"/>
    <mergeCell ref="K79:S79"/>
    <mergeCell ref="K80:S80"/>
    <mergeCell ref="AB56:AD57"/>
    <mergeCell ref="AE56:AT57"/>
    <mergeCell ref="AH25:AL25"/>
    <mergeCell ref="BF25:BK26"/>
    <mergeCell ref="AV57:AW59"/>
    <mergeCell ref="C60:D60"/>
    <mergeCell ref="Q60:R60"/>
    <mergeCell ref="S60:T60"/>
    <mergeCell ref="I60:J60"/>
    <mergeCell ref="AX56:AY56"/>
    <mergeCell ref="AV56:AW56"/>
    <mergeCell ref="AV60:AW62"/>
    <mergeCell ref="AM25:AN26"/>
    <mergeCell ref="AO25:AP26"/>
    <mergeCell ref="AQ25:AQ26"/>
    <mergeCell ref="AR25:AU26"/>
    <mergeCell ref="AV25:BE26"/>
    <mergeCell ref="BB56:BK56"/>
    <mergeCell ref="BB60:BK62"/>
    <mergeCell ref="AZ60:BA62"/>
    <mergeCell ref="AX60:AY62"/>
    <mergeCell ref="AX57:AY59"/>
    <mergeCell ref="AZ57:BA59"/>
    <mergeCell ref="BB57:BK59"/>
  </mergeCells>
  <phoneticPr fontId="7" type="noConversion"/>
  <conditionalFormatting sqref="U29">
    <cfRule type="cellIs" dxfId="46" priority="11" operator="greaterThan">
      <formula>$V$23</formula>
    </cfRule>
    <cfRule type="cellIs" dxfId="45" priority="15" operator="lessThan">
      <formula>$U$23</formula>
    </cfRule>
  </conditionalFormatting>
  <conditionalFormatting sqref="U30:U52">
    <cfRule type="cellIs" dxfId="44" priority="9" operator="greaterThan">
      <formula>$V$23</formula>
    </cfRule>
    <cfRule type="cellIs" dxfId="43" priority="10" operator="lessThan">
      <formula>$U$23</formula>
    </cfRule>
  </conditionalFormatting>
  <conditionalFormatting sqref="Y29:Y52">
    <cfRule type="cellIs" dxfId="42" priority="6" operator="lessThan">
      <formula>$Y$23</formula>
    </cfRule>
    <cfRule type="cellIs" dxfId="41" priority="7" operator="greaterThan">
      <formula>$Z$23</formula>
    </cfRule>
  </conditionalFormatting>
  <conditionalFormatting sqref="M6:P6">
    <cfRule type="cellIs" dxfId="40" priority="3" operator="lessThan">
      <formula>$M$10</formula>
    </cfRule>
    <cfRule type="cellIs" dxfId="39" priority="4" operator="lessThan">
      <formula>$M$10</formula>
    </cfRule>
    <cfRule type="cellIs" dxfId="38" priority="1" operator="lessThan">
      <formula>$M$10</formula>
    </cfRule>
  </conditionalFormatting>
  <conditionalFormatting sqref="Y23">
    <cfRule type="cellIs" dxfId="37" priority="2" operator="lessThan">
      <formula>850</formula>
    </cfRule>
  </conditionalFormatting>
  <dataValidations count="1">
    <dataValidation type="list" allowBlank="1" showInputMessage="1" showErrorMessage="1" sqref="M28 R28 AG28 AL28" xr:uid="{00000000-0002-0000-0000-000008000000}"/>
  </dataValidations>
  <printOptions horizontalCentered="1"/>
  <pageMargins left="0.25" right="0.25" top="0.75" bottom="0.75" header="0.3" footer="0.3"/>
  <pageSetup paperSize="8" scale="23" orientation="landscape" horizontalDpi="1200" verticalDpi="1200"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LeiturasdedadosdePI" altText="Leitura de dados do PI">
                <anchor moveWithCells="1" sizeWithCells="1">
                  <from>
                    <xdr:col>5</xdr:col>
                    <xdr:colOff>182880</xdr:colOff>
                    <xdr:row>60</xdr:row>
                    <xdr:rowOff>266700</xdr:rowOff>
                  </from>
                  <to>
                    <xdr:col>9</xdr:col>
                    <xdr:colOff>213360</xdr:colOff>
                    <xdr:row>64</xdr:row>
                    <xdr:rowOff>0</xdr:rowOff>
                  </to>
                </anchor>
              </controlPr>
            </control>
          </mc:Choice>
        </mc:AlternateContent>
        <mc:AlternateContent xmlns:mc="http://schemas.openxmlformats.org/markup-compatibility/2006">
          <mc:Choice Requires="x14">
            <control shapeId="1027" r:id="rId6" name="Button 3">
              <controlPr defaultSize="0" print="0" autoFill="0" autoPict="0" macro="[0]!PrepararNovoBTP">
                <anchor moveWithCells="1" sizeWithCells="1">
                  <from>
                    <xdr:col>1</xdr:col>
                    <xdr:colOff>0</xdr:colOff>
                    <xdr:row>60</xdr:row>
                    <xdr:rowOff>289560</xdr:rowOff>
                  </from>
                  <to>
                    <xdr:col>5</xdr:col>
                    <xdr:colOff>30480</xdr:colOff>
                    <xdr:row>64</xdr:row>
                    <xdr:rowOff>0</xdr:rowOff>
                  </to>
                </anchor>
              </controlPr>
            </control>
          </mc:Choice>
        </mc:AlternateContent>
        <mc:AlternateContent xmlns:mc="http://schemas.openxmlformats.org/markup-compatibility/2006">
          <mc:Choice Requires="x14">
            <control shapeId="1028" r:id="rId7" name="Button 4">
              <controlPr defaultSize="0" print="0" autoFill="0" autoPict="0" macro="[0]!DadosPVTeCrom" altText="Leitura de dados do PI">
                <anchor moveWithCells="1" sizeWithCells="1">
                  <from>
                    <xdr:col>9</xdr:col>
                    <xdr:colOff>373380</xdr:colOff>
                    <xdr:row>60</xdr:row>
                    <xdr:rowOff>266700</xdr:rowOff>
                  </from>
                  <to>
                    <xdr:col>13</xdr:col>
                    <xdr:colOff>403860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Tutorial!$CS$4:$CS$8</xm:f>
          </x14:formula1>
          <xm:sqref>M12:P12</xm:sqref>
        </x14:dataValidation>
        <x14:dataValidation type="list" allowBlank="1" showInputMessage="1" showErrorMessage="1" xr:uid="{00000000-0002-0000-0000-000001000000}">
          <x14:formula1>
            <xm:f>Tutorial!$CR$9:$CR$10</xm:f>
          </x14:formula1>
          <xm:sqref>M13:P13</xm:sqref>
        </x14:dataValidation>
        <x14:dataValidation type="list" allowBlank="1" showInputMessage="1" showErrorMessage="1" xr:uid="{00000000-0002-0000-0000-000002000000}">
          <x14:formula1>
            <xm:f>Tutorial!$CR$7:$CR$8</xm:f>
          </x14:formula1>
          <xm:sqref>X57</xm:sqref>
        </x14:dataValidation>
        <x14:dataValidation type="list" allowBlank="1" showInputMessage="1" showErrorMessage="1" xr:uid="{00000000-0002-0000-0000-000003000000}">
          <x14:formula1>
            <xm:f>Tutorial!$CR$4:$CR$6</xm:f>
          </x14:formula1>
          <xm:sqref>E12:G12</xm:sqref>
        </x14:dataValidation>
        <x14:dataValidation type="list" allowBlank="1" showInputMessage="1" showErrorMessage="1" xr:uid="{00000000-0002-0000-0000-000004000000}">
          <x14:formula1>
            <xm:f>Tutorial!$CR$11:$CR$12</xm:f>
          </x14:formula1>
          <xm:sqref>BK7:BL7 BR7:BS7</xm:sqref>
        </x14:dataValidation>
        <x14:dataValidation type="list" allowBlank="1" showInputMessage="1" showErrorMessage="1" xr:uid="{00000000-0002-0000-0000-000005000000}">
          <x14:formula1>
            <xm:f>Plan1!$G$4:$G$21</xm:f>
          </x14:formula1>
          <xm:sqref>E11:G11</xm:sqref>
        </x14:dataValidation>
        <x14:dataValidation type="list" allowBlank="1" showInputMessage="1" showErrorMessage="1" xr:uid="{00000000-0002-0000-0000-000007000000}">
          <x14:formula1>
            <xm:f>Plan1!$AN$6:$AN$8</xm:f>
          </x14:formula1>
          <xm:sqref>BK9:BL9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pageSetUpPr autoPageBreaks="0" fitToPage="1"/>
  </sheetPr>
  <dimension ref="B2:CS79"/>
  <sheetViews>
    <sheetView showGridLines="0" topLeftCell="AB31" zoomScale="85" zoomScaleNormal="85" workbookViewId="0">
      <selection activeCell="I71" sqref="I71"/>
    </sheetView>
  </sheetViews>
  <sheetFormatPr defaultColWidth="9.109375" defaultRowHeight="13.2" x14ac:dyDescent="0.25"/>
  <cols>
    <col min="1" max="1" width="2.6640625" style="5" customWidth="1"/>
    <col min="2" max="2" width="15.109375" style="5" customWidth="1"/>
    <col min="3" max="16" width="10.6640625" style="5" customWidth="1"/>
    <col min="17" max="17" width="11.6640625" style="5" customWidth="1"/>
    <col min="18" max="29" width="10.6640625" style="5" customWidth="1"/>
    <col min="30" max="30" width="18" style="5" customWidth="1"/>
    <col min="31" max="33" width="10.6640625" style="5" customWidth="1"/>
    <col min="34" max="34" width="15.5546875" style="5" customWidth="1"/>
    <col min="35" max="71" width="10.6640625" style="5" customWidth="1"/>
    <col min="72" max="16384" width="9.109375" style="5"/>
  </cols>
  <sheetData>
    <row r="2" spans="2:97" ht="44.25" customHeight="1" x14ac:dyDescent="0.25">
      <c r="B2" s="353" t="s">
        <v>0</v>
      </c>
      <c r="C2" s="353"/>
      <c r="D2" s="353"/>
      <c r="E2" s="353"/>
      <c r="F2" s="353"/>
      <c r="G2" s="353"/>
      <c r="H2" s="353"/>
      <c r="I2" s="353"/>
      <c r="J2" s="353"/>
      <c r="K2" s="353"/>
      <c r="L2" s="353"/>
      <c r="M2" s="353"/>
      <c r="N2" s="353"/>
      <c r="O2" s="353"/>
      <c r="P2" s="353"/>
      <c r="Q2" s="353"/>
      <c r="R2" s="353"/>
      <c r="S2" s="353"/>
      <c r="T2" s="353"/>
      <c r="U2" s="353"/>
      <c r="V2" s="353"/>
      <c r="W2" s="353"/>
      <c r="X2" s="353"/>
      <c r="Y2" s="353"/>
      <c r="Z2" s="353"/>
      <c r="AA2" s="353"/>
      <c r="AB2" s="353"/>
      <c r="AC2" s="353"/>
      <c r="AD2" s="353"/>
      <c r="AE2" s="353"/>
      <c r="AF2" s="353"/>
      <c r="AG2" s="353"/>
      <c r="AH2" s="353"/>
      <c r="AI2" s="353"/>
      <c r="AJ2" s="353"/>
      <c r="AK2" s="353"/>
      <c r="AL2" s="353"/>
      <c r="AM2" s="353"/>
      <c r="AN2" s="353"/>
      <c r="AO2" s="353"/>
      <c r="AP2" s="353"/>
      <c r="AQ2" s="353"/>
      <c r="AR2" s="353"/>
      <c r="AS2" s="353"/>
      <c r="AT2" s="353"/>
      <c r="AU2" s="353"/>
      <c r="AV2" s="353"/>
      <c r="AW2" s="353"/>
      <c r="AX2" s="353"/>
      <c r="AY2" s="353"/>
      <c r="AZ2" s="353"/>
      <c r="BA2" s="353"/>
      <c r="BB2" s="353"/>
      <c r="BC2" s="353"/>
      <c r="BD2" s="353"/>
      <c r="BE2" s="353"/>
      <c r="BF2" s="353"/>
      <c r="BG2" s="353"/>
      <c r="BH2" s="353"/>
      <c r="BI2" s="353"/>
      <c r="BJ2" s="353"/>
      <c r="BK2" s="353"/>
      <c r="BL2" s="353"/>
      <c r="BM2" s="353"/>
      <c r="BN2" s="353"/>
      <c r="BO2" s="353"/>
      <c r="BP2" s="353"/>
      <c r="BQ2" s="353"/>
      <c r="BR2" s="353"/>
      <c r="BS2" s="353"/>
    </row>
    <row r="4" spans="2:97" ht="22.5" customHeight="1" x14ac:dyDescent="0.25">
      <c r="B4" s="409" t="s">
        <v>1</v>
      </c>
      <c r="C4" s="410"/>
      <c r="D4" s="410"/>
      <c r="E4" s="410"/>
      <c r="F4" s="410"/>
      <c r="G4" s="411"/>
      <c r="I4" s="308" t="s">
        <v>2</v>
      </c>
      <c r="J4" s="308"/>
      <c r="K4" s="308"/>
      <c r="L4" s="308"/>
      <c r="M4" s="308"/>
      <c r="N4" s="308"/>
      <c r="O4" s="308"/>
      <c r="P4" s="308"/>
      <c r="R4" s="330" t="s">
        <v>3</v>
      </c>
      <c r="S4" s="331"/>
      <c r="T4" s="331"/>
      <c r="U4" s="331"/>
      <c r="V4" s="331"/>
      <c r="W4" s="331"/>
      <c r="X4" s="331"/>
      <c r="Y4" s="331"/>
      <c r="Z4" s="331"/>
      <c r="AA4" s="331"/>
      <c r="AB4" s="331"/>
      <c r="AC4" s="331"/>
      <c r="AD4" s="331"/>
      <c r="AE4" s="331"/>
      <c r="AF4" s="331"/>
      <c r="AG4" s="331"/>
      <c r="AH4" s="332"/>
      <c r="AK4" s="377" t="s">
        <v>4</v>
      </c>
      <c r="AL4" s="378"/>
      <c r="AM4" s="378"/>
      <c r="AN4" s="378"/>
      <c r="AO4" s="378"/>
      <c r="AP4" s="378"/>
      <c r="AQ4" s="378"/>
      <c r="AR4" s="378"/>
      <c r="AS4" s="378"/>
      <c r="AT4" s="378"/>
      <c r="AU4" s="378"/>
      <c r="AV4" s="378"/>
      <c r="AW4" s="378"/>
      <c r="AX4" s="378"/>
      <c r="AY4" s="378"/>
      <c r="AZ4" s="378"/>
      <c r="BA4" s="378"/>
      <c r="BB4" s="378"/>
      <c r="BC4" s="378"/>
      <c r="BD4" s="378"/>
      <c r="BE4" s="378"/>
      <c r="BF4" s="378"/>
      <c r="BG4" s="378"/>
      <c r="BH4" s="378"/>
      <c r="BI4" s="378"/>
      <c r="BJ4" s="378"/>
      <c r="BK4" s="378"/>
      <c r="BL4" s="378"/>
      <c r="BM4" s="378"/>
      <c r="BN4" s="378"/>
      <c r="BO4" s="378"/>
      <c r="BP4" s="378"/>
      <c r="BQ4" s="378"/>
      <c r="BR4" s="378"/>
      <c r="BS4" s="379"/>
      <c r="CR4" s="5" t="s">
        <v>282</v>
      </c>
      <c r="CS4" s="5" t="s">
        <v>283</v>
      </c>
    </row>
    <row r="5" spans="2:97" ht="22.5" customHeight="1" x14ac:dyDescent="0.25">
      <c r="B5" s="412"/>
      <c r="C5" s="413"/>
      <c r="D5" s="413"/>
      <c r="E5" s="413"/>
      <c r="F5" s="413"/>
      <c r="G5" s="414"/>
      <c r="I5" s="496" t="s">
        <v>5</v>
      </c>
      <c r="J5" s="496"/>
      <c r="K5" s="496"/>
      <c r="L5" s="496"/>
      <c r="M5" s="558" t="s">
        <v>284</v>
      </c>
      <c r="N5" s="558"/>
      <c r="O5" s="558"/>
      <c r="P5" s="558"/>
      <c r="Q5" s="52"/>
      <c r="R5" s="496" t="s">
        <v>6</v>
      </c>
      <c r="S5" s="496"/>
      <c r="T5" s="496"/>
      <c r="U5" s="496"/>
      <c r="V5" s="496"/>
      <c r="W5" s="496"/>
      <c r="X5" s="496"/>
      <c r="Y5" s="554" t="s">
        <v>285</v>
      </c>
      <c r="Z5" s="555"/>
      <c r="AA5" s="357" t="s">
        <v>286</v>
      </c>
      <c r="AB5" s="357"/>
      <c r="AC5" s="357"/>
      <c r="AD5" s="21" t="s">
        <v>285</v>
      </c>
      <c r="AE5" s="532" t="s">
        <v>8</v>
      </c>
      <c r="AF5" s="533"/>
      <c r="AG5" s="534"/>
      <c r="AH5" s="21" t="s">
        <v>285</v>
      </c>
      <c r="CR5" s="5" t="s">
        <v>177</v>
      </c>
      <c r="CS5" s="16" t="s">
        <v>287</v>
      </c>
    </row>
    <row r="6" spans="2:97" ht="22.5" customHeight="1" x14ac:dyDescent="0.25">
      <c r="B6" s="532" t="s">
        <v>10</v>
      </c>
      <c r="C6" s="533"/>
      <c r="D6" s="534"/>
      <c r="E6" s="553" t="s">
        <v>11</v>
      </c>
      <c r="F6" s="553"/>
      <c r="G6" s="553"/>
      <c r="I6" s="496" t="s">
        <v>12</v>
      </c>
      <c r="J6" s="496"/>
      <c r="K6" s="496"/>
      <c r="L6" s="496"/>
      <c r="M6" s="558" t="s">
        <v>288</v>
      </c>
      <c r="N6" s="558"/>
      <c r="O6" s="558"/>
      <c r="P6" s="558"/>
      <c r="Q6" s="52"/>
      <c r="R6" s="496" t="s">
        <v>13</v>
      </c>
      <c r="S6" s="496"/>
      <c r="T6" s="496"/>
      <c r="U6" s="496"/>
      <c r="V6" s="496"/>
      <c r="W6" s="496"/>
      <c r="X6" s="496"/>
      <c r="Y6" s="554" t="s">
        <v>285</v>
      </c>
      <c r="Z6" s="555"/>
      <c r="AA6" s="357" t="s">
        <v>14</v>
      </c>
      <c r="AB6" s="357"/>
      <c r="AC6" s="357"/>
      <c r="AD6" s="21" t="s">
        <v>285</v>
      </c>
      <c r="AE6" s="496" t="s">
        <v>15</v>
      </c>
      <c r="AF6" s="496"/>
      <c r="AG6" s="496"/>
      <c r="AH6" s="21" t="s">
        <v>285</v>
      </c>
      <c r="AK6" s="377" t="s">
        <v>16</v>
      </c>
      <c r="AL6" s="378"/>
      <c r="AM6" s="378"/>
      <c r="AN6" s="378"/>
      <c r="AO6" s="378"/>
      <c r="AP6" s="379"/>
      <c r="AQ6" s="55"/>
      <c r="AR6" s="377" t="s">
        <v>17</v>
      </c>
      <c r="AS6" s="378"/>
      <c r="AT6" s="378"/>
      <c r="AU6" s="378"/>
      <c r="AV6" s="378"/>
      <c r="AW6" s="378"/>
      <c r="AX6" s="379"/>
      <c r="AZ6" s="377" t="s">
        <v>18</v>
      </c>
      <c r="BA6" s="378"/>
      <c r="BB6" s="378"/>
      <c r="BC6" s="378"/>
      <c r="BD6" s="378"/>
      <c r="BE6" s="379"/>
      <c r="BG6" s="377" t="s">
        <v>19</v>
      </c>
      <c r="BH6" s="378"/>
      <c r="BI6" s="378"/>
      <c r="BJ6" s="378"/>
      <c r="BK6" s="378"/>
      <c r="BL6" s="379"/>
      <c r="BN6" s="377" t="s">
        <v>20</v>
      </c>
      <c r="BO6" s="378"/>
      <c r="BP6" s="378"/>
      <c r="BQ6" s="378"/>
      <c r="BR6" s="378"/>
      <c r="BS6" s="379"/>
      <c r="CR6" s="16" t="s">
        <v>84</v>
      </c>
      <c r="CS6" s="16" t="s">
        <v>289</v>
      </c>
    </row>
    <row r="7" spans="2:97" ht="22.5" customHeight="1" x14ac:dyDescent="0.25">
      <c r="B7" s="532" t="s">
        <v>21</v>
      </c>
      <c r="C7" s="533"/>
      <c r="D7" s="534"/>
      <c r="E7" s="557" t="s">
        <v>290</v>
      </c>
      <c r="F7" s="557"/>
      <c r="G7" s="557"/>
      <c r="I7" s="496" t="s">
        <v>23</v>
      </c>
      <c r="J7" s="496"/>
      <c r="K7" s="496"/>
      <c r="L7" s="496"/>
      <c r="M7" s="558" t="s">
        <v>291</v>
      </c>
      <c r="N7" s="558"/>
      <c r="O7" s="558"/>
      <c r="P7" s="558"/>
      <c r="Q7" s="52"/>
      <c r="R7" s="496" t="s">
        <v>24</v>
      </c>
      <c r="S7" s="496"/>
      <c r="T7" s="496"/>
      <c r="U7" s="496"/>
      <c r="V7" s="496"/>
      <c r="W7" s="496"/>
      <c r="X7" s="496"/>
      <c r="Y7" s="554" t="s">
        <v>285</v>
      </c>
      <c r="Z7" s="555"/>
      <c r="AA7" s="357" t="s">
        <v>25</v>
      </c>
      <c r="AB7" s="357"/>
      <c r="AC7" s="357"/>
      <c r="AD7" s="21" t="s">
        <v>285</v>
      </c>
      <c r="AE7" s="532" t="s">
        <v>292</v>
      </c>
      <c r="AF7" s="533"/>
      <c r="AG7" s="534"/>
      <c r="AH7" s="21" t="s">
        <v>285</v>
      </c>
      <c r="AK7" s="532" t="s">
        <v>27</v>
      </c>
      <c r="AL7" s="533"/>
      <c r="AM7" s="533"/>
      <c r="AN7" s="534"/>
      <c r="AO7" s="535" t="s">
        <v>285</v>
      </c>
      <c r="AP7" s="536"/>
      <c r="AR7" s="532" t="s">
        <v>29</v>
      </c>
      <c r="AS7" s="533"/>
      <c r="AT7" s="533"/>
      <c r="AU7" s="533"/>
      <c r="AV7" s="534"/>
      <c r="AW7" s="535" t="s">
        <v>285</v>
      </c>
      <c r="AX7" s="536"/>
      <c r="AZ7" s="532" t="s">
        <v>31</v>
      </c>
      <c r="BA7" s="533"/>
      <c r="BB7" s="533"/>
      <c r="BC7" s="534"/>
      <c r="BD7" s="535" t="s">
        <v>285</v>
      </c>
      <c r="BE7" s="536"/>
      <c r="BG7" s="532" t="s">
        <v>33</v>
      </c>
      <c r="BH7" s="533"/>
      <c r="BI7" s="533"/>
      <c r="BJ7" s="534"/>
      <c r="BK7" s="535" t="s">
        <v>285</v>
      </c>
      <c r="BL7" s="536"/>
      <c r="BN7" s="532" t="s">
        <v>33</v>
      </c>
      <c r="BO7" s="533"/>
      <c r="BP7" s="533"/>
      <c r="BQ7" s="534"/>
      <c r="BR7" s="535" t="s">
        <v>285</v>
      </c>
      <c r="BS7" s="536"/>
      <c r="CR7" s="16" t="s">
        <v>213</v>
      </c>
      <c r="CS7" s="16" t="s">
        <v>86</v>
      </c>
    </row>
    <row r="8" spans="2:97" ht="22.5" customHeight="1" x14ac:dyDescent="0.25">
      <c r="B8" s="532" t="s">
        <v>35</v>
      </c>
      <c r="C8" s="533"/>
      <c r="D8" s="534"/>
      <c r="E8" s="553" t="s">
        <v>293</v>
      </c>
      <c r="F8" s="553"/>
      <c r="G8" s="553"/>
      <c r="I8" s="496" t="s">
        <v>37</v>
      </c>
      <c r="J8" s="496"/>
      <c r="K8" s="496"/>
      <c r="L8" s="496"/>
      <c r="M8" s="495" t="s">
        <v>294</v>
      </c>
      <c r="N8" s="495"/>
      <c r="O8" s="495"/>
      <c r="P8" s="495"/>
      <c r="Q8" s="53"/>
      <c r="R8" s="496" t="s">
        <v>39</v>
      </c>
      <c r="S8" s="496"/>
      <c r="T8" s="496"/>
      <c r="U8" s="496"/>
      <c r="V8" s="496"/>
      <c r="W8" s="496"/>
      <c r="X8" s="496"/>
      <c r="Y8" s="554" t="s">
        <v>285</v>
      </c>
      <c r="Z8" s="555"/>
      <c r="AA8" s="357" t="s">
        <v>40</v>
      </c>
      <c r="AB8" s="357"/>
      <c r="AC8" s="357"/>
      <c r="AD8" s="21" t="s">
        <v>285</v>
      </c>
      <c r="AE8" s="532" t="s">
        <v>41</v>
      </c>
      <c r="AF8" s="533"/>
      <c r="AG8" s="534"/>
      <c r="AH8" s="21" t="s">
        <v>285</v>
      </c>
      <c r="AK8" s="532" t="s">
        <v>42</v>
      </c>
      <c r="AL8" s="533"/>
      <c r="AM8" s="533"/>
      <c r="AN8" s="534"/>
      <c r="AO8" s="535" t="s">
        <v>285</v>
      </c>
      <c r="AP8" s="536"/>
      <c r="AR8" s="532" t="s">
        <v>43</v>
      </c>
      <c r="AS8" s="533"/>
      <c r="AT8" s="533"/>
      <c r="AU8" s="533"/>
      <c r="AV8" s="534"/>
      <c r="AW8" s="535" t="s">
        <v>285</v>
      </c>
      <c r="AX8" s="536"/>
      <c r="AZ8" s="532" t="s">
        <v>45</v>
      </c>
      <c r="BA8" s="533"/>
      <c r="BB8" s="533"/>
      <c r="BC8" s="534"/>
      <c r="BD8" s="535" t="s">
        <v>285</v>
      </c>
      <c r="BE8" s="536"/>
      <c r="BG8" s="532" t="s">
        <v>46</v>
      </c>
      <c r="BH8" s="533"/>
      <c r="BI8" s="533"/>
      <c r="BJ8" s="534"/>
      <c r="BK8" s="535" t="s">
        <v>285</v>
      </c>
      <c r="BL8" s="536"/>
      <c r="BN8" s="532" t="s">
        <v>46</v>
      </c>
      <c r="BO8" s="533"/>
      <c r="BP8" s="533"/>
      <c r="BQ8" s="534"/>
      <c r="BR8" s="535" t="s">
        <v>285</v>
      </c>
      <c r="BS8" s="536"/>
      <c r="CR8" s="38" t="s">
        <v>212</v>
      </c>
      <c r="CS8" s="16" t="s">
        <v>295</v>
      </c>
    </row>
    <row r="9" spans="2:97" ht="22.5" customHeight="1" x14ac:dyDescent="0.25">
      <c r="B9" s="532" t="s">
        <v>49</v>
      </c>
      <c r="C9" s="533"/>
      <c r="D9" s="534"/>
      <c r="E9" s="553" t="s">
        <v>296</v>
      </c>
      <c r="F9" s="553"/>
      <c r="G9" s="553"/>
      <c r="I9" s="496" t="s">
        <v>50</v>
      </c>
      <c r="J9" s="496"/>
      <c r="K9" s="496"/>
      <c r="L9" s="496"/>
      <c r="M9" s="556" t="s">
        <v>297</v>
      </c>
      <c r="N9" s="556"/>
      <c r="O9" s="556"/>
      <c r="P9" s="556"/>
      <c r="Q9" s="54"/>
      <c r="R9" s="496" t="s">
        <v>51</v>
      </c>
      <c r="S9" s="496"/>
      <c r="T9" s="496"/>
      <c r="U9" s="496"/>
      <c r="V9" s="496"/>
      <c r="W9" s="496"/>
      <c r="X9" s="496"/>
      <c r="Y9" s="554" t="s">
        <v>285</v>
      </c>
      <c r="Z9" s="555"/>
      <c r="AA9" s="496" t="s">
        <v>52</v>
      </c>
      <c r="AB9" s="496"/>
      <c r="AC9" s="496"/>
      <c r="AD9" s="21" t="s">
        <v>285</v>
      </c>
      <c r="AE9" s="532" t="s">
        <v>53</v>
      </c>
      <c r="AF9" s="533"/>
      <c r="AG9" s="534"/>
      <c r="AH9" s="21" t="s">
        <v>285</v>
      </c>
      <c r="AK9" s="532" t="s">
        <v>54</v>
      </c>
      <c r="AL9" s="533"/>
      <c r="AM9" s="533"/>
      <c r="AN9" s="534"/>
      <c r="AO9" s="535" t="s">
        <v>285</v>
      </c>
      <c r="AP9" s="536"/>
      <c r="AR9" s="532" t="s">
        <v>56</v>
      </c>
      <c r="AS9" s="533"/>
      <c r="AT9" s="533"/>
      <c r="AU9" s="533"/>
      <c r="AV9" s="534"/>
      <c r="AW9" s="535" t="s">
        <v>285</v>
      </c>
      <c r="AX9" s="536"/>
      <c r="AZ9" s="546" t="s">
        <v>58</v>
      </c>
      <c r="BA9" s="547"/>
      <c r="BB9" s="547"/>
      <c r="BC9" s="548"/>
      <c r="BD9" s="535" t="s">
        <v>285</v>
      </c>
      <c r="BE9" s="536"/>
      <c r="BG9" s="532" t="s">
        <v>59</v>
      </c>
      <c r="BH9" s="533"/>
      <c r="BI9" s="533"/>
      <c r="BJ9" s="534"/>
      <c r="BK9" s="535" t="s">
        <v>285</v>
      </c>
      <c r="BL9" s="536"/>
      <c r="BN9" s="532" t="s">
        <v>59</v>
      </c>
      <c r="BO9" s="533"/>
      <c r="BP9" s="533"/>
      <c r="BQ9" s="534"/>
      <c r="BR9" s="535" t="s">
        <v>285</v>
      </c>
      <c r="BS9" s="536"/>
      <c r="CR9" s="16" t="s">
        <v>298</v>
      </c>
    </row>
    <row r="10" spans="2:97" ht="22.5" customHeight="1" x14ac:dyDescent="0.25">
      <c r="B10" s="532" t="s">
        <v>62</v>
      </c>
      <c r="C10" s="533"/>
      <c r="D10" s="534"/>
      <c r="E10" s="553" t="s">
        <v>299</v>
      </c>
      <c r="F10" s="553"/>
      <c r="G10" s="553"/>
      <c r="R10" s="496" t="s">
        <v>65</v>
      </c>
      <c r="S10" s="496"/>
      <c r="T10" s="496"/>
      <c r="U10" s="496"/>
      <c r="V10" s="496"/>
      <c r="W10" s="496"/>
      <c r="X10" s="496"/>
      <c r="Y10" s="554" t="s">
        <v>285</v>
      </c>
      <c r="Z10" s="555"/>
      <c r="AA10" s="496" t="s">
        <v>66</v>
      </c>
      <c r="AB10" s="496"/>
      <c r="AC10" s="496"/>
      <c r="AD10" s="21" t="s">
        <v>285</v>
      </c>
      <c r="AE10" s="532" t="s">
        <v>67</v>
      </c>
      <c r="AF10" s="533"/>
      <c r="AG10" s="534"/>
      <c r="AH10" s="21" t="s">
        <v>285</v>
      </c>
      <c r="AK10" s="532" t="s">
        <v>68</v>
      </c>
      <c r="AL10" s="533"/>
      <c r="AM10" s="533"/>
      <c r="AN10" s="534"/>
      <c r="AO10" s="535" t="s">
        <v>285</v>
      </c>
      <c r="AP10" s="536"/>
      <c r="AR10" s="532" t="s">
        <v>69</v>
      </c>
      <c r="AS10" s="533"/>
      <c r="AT10" s="533"/>
      <c r="AU10" s="533"/>
      <c r="AV10" s="534"/>
      <c r="AW10" s="535" t="s">
        <v>285</v>
      </c>
      <c r="AX10" s="536"/>
      <c r="AZ10" s="532" t="s">
        <v>71</v>
      </c>
      <c r="BA10" s="533"/>
      <c r="BB10" s="533"/>
      <c r="BC10" s="534"/>
      <c r="BD10" s="535" t="s">
        <v>285</v>
      </c>
      <c r="BE10" s="536"/>
      <c r="BG10" s="546" t="s">
        <v>73</v>
      </c>
      <c r="BH10" s="547"/>
      <c r="BI10" s="547"/>
      <c r="BJ10" s="548"/>
      <c r="BK10" s="535" t="s">
        <v>285</v>
      </c>
      <c r="BL10" s="536"/>
      <c r="BN10" s="546" t="s">
        <v>73</v>
      </c>
      <c r="BO10" s="547"/>
      <c r="BP10" s="547"/>
      <c r="BQ10" s="548"/>
      <c r="BR10" s="535" t="s">
        <v>285</v>
      </c>
      <c r="BS10" s="536"/>
      <c r="CR10" s="16" t="s">
        <v>300</v>
      </c>
    </row>
    <row r="11" spans="2:97" ht="22.5" customHeight="1" x14ac:dyDescent="0.25">
      <c r="B11" s="532" t="s">
        <v>76</v>
      </c>
      <c r="C11" s="533"/>
      <c r="D11" s="534"/>
      <c r="E11" s="552" t="s">
        <v>301</v>
      </c>
      <c r="F11" s="552"/>
      <c r="G11" s="552"/>
      <c r="AR11" s="532" t="s">
        <v>79</v>
      </c>
      <c r="AS11" s="533"/>
      <c r="AT11" s="533"/>
      <c r="AU11" s="533"/>
      <c r="AV11" s="534"/>
      <c r="AW11" s="535" t="s">
        <v>285</v>
      </c>
      <c r="AX11" s="536"/>
      <c r="AZ11" s="532" t="s">
        <v>80</v>
      </c>
      <c r="BA11" s="533"/>
      <c r="BB11" s="533"/>
      <c r="BC11" s="534"/>
      <c r="BD11" s="535" t="s">
        <v>285</v>
      </c>
      <c r="BE11" s="536"/>
      <c r="BG11" s="532" t="s">
        <v>81</v>
      </c>
      <c r="BH11" s="533"/>
      <c r="BI11" s="533"/>
      <c r="BJ11" s="534"/>
      <c r="BK11" s="535" t="s">
        <v>285</v>
      </c>
      <c r="BL11" s="536"/>
      <c r="BN11" s="532" t="s">
        <v>81</v>
      </c>
      <c r="BO11" s="533"/>
      <c r="BP11" s="533"/>
      <c r="BQ11" s="534"/>
      <c r="BR11" s="535" t="s">
        <v>285</v>
      </c>
      <c r="BS11" s="536"/>
      <c r="CR11" s="16" t="s">
        <v>34</v>
      </c>
    </row>
    <row r="12" spans="2:97" ht="22.5" customHeight="1" x14ac:dyDescent="0.25">
      <c r="B12" s="388" t="s">
        <v>83</v>
      </c>
      <c r="C12" s="389"/>
      <c r="D12" s="390"/>
      <c r="E12" s="552" t="s">
        <v>282</v>
      </c>
      <c r="F12" s="552"/>
      <c r="G12" s="552"/>
      <c r="I12" s="412" t="s">
        <v>78</v>
      </c>
      <c r="J12" s="413"/>
      <c r="K12" s="413"/>
      <c r="L12" s="413"/>
      <c r="M12" s="413"/>
      <c r="N12" s="413"/>
      <c r="O12" s="413"/>
      <c r="P12" s="413"/>
      <c r="Q12" s="413"/>
      <c r="R12" s="413"/>
      <c r="S12" s="413"/>
      <c r="T12" s="413"/>
      <c r="U12" s="413"/>
      <c r="V12" s="413"/>
      <c r="W12" s="413"/>
      <c r="X12" s="413"/>
      <c r="Y12" s="413"/>
      <c r="Z12" s="413"/>
      <c r="AA12" s="413"/>
      <c r="AB12" s="413"/>
      <c r="AC12" s="413"/>
      <c r="AD12" s="413"/>
      <c r="AE12" s="413"/>
      <c r="AF12" s="414"/>
      <c r="AK12" s="377" t="s">
        <v>88</v>
      </c>
      <c r="AL12" s="378"/>
      <c r="AM12" s="378"/>
      <c r="AN12" s="378"/>
      <c r="AO12" s="378"/>
      <c r="AP12" s="379"/>
      <c r="AQ12" s="55"/>
      <c r="AR12" s="532" t="s">
        <v>89</v>
      </c>
      <c r="AS12" s="533"/>
      <c r="AT12" s="533"/>
      <c r="AU12" s="533"/>
      <c r="AV12" s="534"/>
      <c r="AW12" s="535" t="s">
        <v>285</v>
      </c>
      <c r="AX12" s="536"/>
      <c r="AZ12" s="532" t="s">
        <v>90</v>
      </c>
      <c r="BA12" s="533"/>
      <c r="BB12" s="533"/>
      <c r="BC12" s="534"/>
      <c r="BD12" s="535" t="s">
        <v>285</v>
      </c>
      <c r="BE12" s="536"/>
      <c r="BG12" s="532" t="s">
        <v>92</v>
      </c>
      <c r="BH12" s="533"/>
      <c r="BI12" s="533"/>
      <c r="BJ12" s="534"/>
      <c r="BK12" s="535" t="s">
        <v>285</v>
      </c>
      <c r="BL12" s="536"/>
      <c r="BN12" s="532" t="s">
        <v>92</v>
      </c>
      <c r="BO12" s="533"/>
      <c r="BP12" s="533"/>
      <c r="BQ12" s="534"/>
      <c r="BR12" s="535" t="s">
        <v>285</v>
      </c>
      <c r="BS12" s="536"/>
      <c r="CR12" s="16" t="s">
        <v>302</v>
      </c>
    </row>
    <row r="13" spans="2:97" ht="22.5" customHeight="1" x14ac:dyDescent="0.25">
      <c r="B13" s="388" t="s">
        <v>93</v>
      </c>
      <c r="C13" s="389"/>
      <c r="D13" s="390"/>
      <c r="E13" s="551">
        <v>446546</v>
      </c>
      <c r="F13" s="551"/>
      <c r="G13" s="11" t="s">
        <v>94</v>
      </c>
      <c r="I13" s="496" t="s">
        <v>85</v>
      </c>
      <c r="J13" s="496"/>
      <c r="K13" s="496"/>
      <c r="L13" s="496"/>
      <c r="M13" s="497" t="s">
        <v>303</v>
      </c>
      <c r="N13" s="497"/>
      <c r="O13" s="497"/>
      <c r="P13" s="497"/>
      <c r="Q13" s="497"/>
      <c r="R13" s="497"/>
      <c r="S13" s="497"/>
      <c r="T13" s="497"/>
      <c r="U13" s="497"/>
      <c r="V13" s="497"/>
      <c r="W13" s="497"/>
      <c r="X13" s="497"/>
      <c r="Y13" s="497"/>
      <c r="Z13" s="497"/>
      <c r="AA13" s="497"/>
      <c r="AB13" s="497"/>
      <c r="AC13" s="497"/>
      <c r="AD13" s="497"/>
      <c r="AE13" s="497"/>
      <c r="AF13" s="497"/>
      <c r="AK13" s="532" t="s">
        <v>102</v>
      </c>
      <c r="AL13" s="533"/>
      <c r="AM13" s="533"/>
      <c r="AN13" s="534"/>
      <c r="AO13" s="535" t="s">
        <v>285</v>
      </c>
      <c r="AP13" s="536"/>
      <c r="AR13" s="532" t="s">
        <v>104</v>
      </c>
      <c r="AS13" s="533"/>
      <c r="AT13" s="533"/>
      <c r="AU13" s="533"/>
      <c r="AV13" s="534"/>
      <c r="AW13" s="535" t="s">
        <v>285</v>
      </c>
      <c r="AX13" s="536"/>
      <c r="AZ13" s="532" t="s">
        <v>106</v>
      </c>
      <c r="BA13" s="533"/>
      <c r="BB13" s="533"/>
      <c r="BC13" s="534"/>
      <c r="BD13" s="535" t="s">
        <v>285</v>
      </c>
      <c r="BE13" s="536"/>
      <c r="BG13" s="532" t="s">
        <v>107</v>
      </c>
      <c r="BH13" s="533"/>
      <c r="BI13" s="533"/>
      <c r="BJ13" s="534"/>
      <c r="BK13" s="535" t="s">
        <v>285</v>
      </c>
      <c r="BL13" s="536"/>
      <c r="BN13" s="532" t="s">
        <v>107</v>
      </c>
      <c r="BO13" s="533"/>
      <c r="BP13" s="533"/>
      <c r="BQ13" s="534"/>
      <c r="BR13" s="535" t="s">
        <v>285</v>
      </c>
      <c r="BS13" s="536"/>
    </row>
    <row r="14" spans="2:97" ht="22.5" customHeight="1" x14ac:dyDescent="0.25">
      <c r="B14" s="388" t="s">
        <v>109</v>
      </c>
      <c r="C14" s="389"/>
      <c r="D14" s="390"/>
      <c r="E14" s="551">
        <v>7781676</v>
      </c>
      <c r="F14" s="551"/>
      <c r="G14" s="11" t="s">
        <v>94</v>
      </c>
      <c r="I14" s="496"/>
      <c r="J14" s="496"/>
      <c r="K14" s="496"/>
      <c r="L14" s="496"/>
      <c r="M14" s="497"/>
      <c r="N14" s="497"/>
      <c r="O14" s="497"/>
      <c r="P14" s="497"/>
      <c r="Q14" s="497"/>
      <c r="R14" s="497"/>
      <c r="S14" s="497"/>
      <c r="T14" s="497"/>
      <c r="U14" s="497"/>
      <c r="V14" s="497"/>
      <c r="W14" s="497"/>
      <c r="X14" s="497"/>
      <c r="Y14" s="497"/>
      <c r="Z14" s="497"/>
      <c r="AA14" s="497"/>
      <c r="AB14" s="497"/>
      <c r="AC14" s="497"/>
      <c r="AD14" s="497"/>
      <c r="AE14" s="497"/>
      <c r="AF14" s="497"/>
      <c r="AK14" s="532" t="s">
        <v>113</v>
      </c>
      <c r="AL14" s="533"/>
      <c r="AM14" s="533"/>
      <c r="AN14" s="534"/>
      <c r="AO14" s="535" t="s">
        <v>285</v>
      </c>
      <c r="AP14" s="536"/>
      <c r="AR14" s="532" t="s">
        <v>114</v>
      </c>
      <c r="AS14" s="533"/>
      <c r="AT14" s="533"/>
      <c r="AU14" s="533"/>
      <c r="AV14" s="534"/>
      <c r="AW14" s="535" t="s">
        <v>285</v>
      </c>
      <c r="AX14" s="536"/>
      <c r="AZ14" s="532" t="s">
        <v>115</v>
      </c>
      <c r="BA14" s="533"/>
      <c r="BB14" s="533"/>
      <c r="BC14" s="534"/>
      <c r="BD14" s="535" t="s">
        <v>285</v>
      </c>
      <c r="BE14" s="536"/>
      <c r="BG14" s="532" t="s">
        <v>117</v>
      </c>
      <c r="BH14" s="533"/>
      <c r="BI14" s="533"/>
      <c r="BJ14" s="534"/>
      <c r="BK14" s="535" t="s">
        <v>285</v>
      </c>
      <c r="BL14" s="536"/>
      <c r="BN14" s="532" t="s">
        <v>117</v>
      </c>
      <c r="BO14" s="533"/>
      <c r="BP14" s="533"/>
      <c r="BQ14" s="534"/>
      <c r="BR14" s="535" t="s">
        <v>285</v>
      </c>
      <c r="BS14" s="536"/>
    </row>
    <row r="15" spans="2:97" ht="22.5" customHeight="1" x14ac:dyDescent="0.25">
      <c r="B15" s="388" t="s">
        <v>118</v>
      </c>
      <c r="C15" s="389"/>
      <c r="D15" s="390"/>
      <c r="E15" s="551">
        <v>1000</v>
      </c>
      <c r="F15" s="551"/>
      <c r="G15" s="11" t="s">
        <v>119</v>
      </c>
      <c r="I15" s="496"/>
      <c r="J15" s="496"/>
      <c r="K15" s="496"/>
      <c r="L15" s="496"/>
      <c r="M15" s="497"/>
      <c r="N15" s="497"/>
      <c r="O15" s="497"/>
      <c r="P15" s="497"/>
      <c r="Q15" s="497"/>
      <c r="R15" s="497"/>
      <c r="S15" s="497"/>
      <c r="T15" s="497"/>
      <c r="U15" s="497"/>
      <c r="V15" s="497"/>
      <c r="W15" s="497"/>
      <c r="X15" s="497"/>
      <c r="Y15" s="497"/>
      <c r="Z15" s="497"/>
      <c r="AA15" s="497"/>
      <c r="AB15" s="497"/>
      <c r="AC15" s="497"/>
      <c r="AD15" s="497"/>
      <c r="AE15" s="497"/>
      <c r="AF15" s="497"/>
      <c r="AZ15" s="532" t="s">
        <v>124</v>
      </c>
      <c r="BA15" s="533"/>
      <c r="BB15" s="533"/>
      <c r="BC15" s="534"/>
      <c r="BD15" s="535" t="s">
        <v>285</v>
      </c>
      <c r="BE15" s="536"/>
      <c r="BG15" s="532" t="s">
        <v>71</v>
      </c>
      <c r="BH15" s="533"/>
      <c r="BI15" s="533"/>
      <c r="BJ15" s="534"/>
      <c r="BK15" s="535" t="s">
        <v>285</v>
      </c>
      <c r="BL15" s="536"/>
      <c r="BN15" s="532" t="s">
        <v>71</v>
      </c>
      <c r="BO15" s="533"/>
      <c r="BP15" s="533"/>
      <c r="BQ15" s="534"/>
      <c r="BR15" s="535" t="s">
        <v>285</v>
      </c>
      <c r="BS15" s="536"/>
    </row>
    <row r="16" spans="2:97" ht="22.5" customHeight="1" x14ac:dyDescent="0.25">
      <c r="B16" s="10"/>
      <c r="C16" s="10"/>
      <c r="D16" s="10"/>
      <c r="E16" s="31"/>
      <c r="F16" s="31"/>
      <c r="G16" s="31"/>
      <c r="I16" s="496"/>
      <c r="J16" s="496"/>
      <c r="K16" s="496"/>
      <c r="L16" s="496"/>
      <c r="M16" s="497"/>
      <c r="N16" s="497"/>
      <c r="O16" s="497"/>
      <c r="P16" s="497"/>
      <c r="Q16" s="497"/>
      <c r="R16" s="497"/>
      <c r="S16" s="497"/>
      <c r="T16" s="497"/>
      <c r="U16" s="497"/>
      <c r="V16" s="497"/>
      <c r="W16" s="497"/>
      <c r="X16" s="497"/>
      <c r="Y16" s="497"/>
      <c r="Z16" s="497"/>
      <c r="AA16" s="497"/>
      <c r="AB16" s="497"/>
      <c r="AC16" s="497"/>
      <c r="AD16" s="497"/>
      <c r="AE16" s="497"/>
      <c r="AF16" s="497"/>
      <c r="AQ16" s="55"/>
      <c r="AR16" s="377" t="s">
        <v>134</v>
      </c>
      <c r="AS16" s="378"/>
      <c r="AT16" s="378"/>
      <c r="AU16" s="378"/>
      <c r="AV16" s="378"/>
      <c r="AW16" s="378"/>
      <c r="AX16" s="379"/>
      <c r="AZ16" s="20"/>
      <c r="BG16" s="532" t="s">
        <v>80</v>
      </c>
      <c r="BH16" s="533"/>
      <c r="BI16" s="533"/>
      <c r="BJ16" s="534"/>
      <c r="BK16" s="535" t="s">
        <v>285</v>
      </c>
      <c r="BL16" s="536"/>
      <c r="BN16" s="532" t="s">
        <v>80</v>
      </c>
      <c r="BO16" s="533"/>
      <c r="BP16" s="533"/>
      <c r="BQ16" s="534"/>
      <c r="BR16" s="535" t="s">
        <v>285</v>
      </c>
      <c r="BS16" s="536"/>
    </row>
    <row r="17" spans="2:71" ht="67.5" customHeight="1" x14ac:dyDescent="0.25">
      <c r="B17" s="10"/>
      <c r="C17" s="10"/>
      <c r="D17" s="10"/>
      <c r="E17" s="31"/>
      <c r="F17" s="31"/>
      <c r="G17" s="31"/>
      <c r="I17" s="498" t="s">
        <v>95</v>
      </c>
      <c r="J17" s="498"/>
      <c r="K17" s="498"/>
      <c r="L17" s="498"/>
      <c r="M17" s="499" t="s">
        <v>304</v>
      </c>
      <c r="N17" s="499"/>
      <c r="O17" s="499"/>
      <c r="P17" s="499"/>
      <c r="Q17" s="499"/>
      <c r="R17" s="499"/>
      <c r="S17" s="499"/>
      <c r="T17" s="499"/>
      <c r="U17" s="499"/>
      <c r="V17" s="499"/>
      <c r="W17" s="499"/>
      <c r="X17" s="499"/>
      <c r="Y17" s="499"/>
      <c r="Z17" s="499"/>
      <c r="AA17" s="499"/>
      <c r="AB17" s="499"/>
      <c r="AC17" s="499"/>
      <c r="AD17" s="499"/>
      <c r="AE17" s="499"/>
      <c r="AF17" s="499"/>
      <c r="AR17" s="532" t="s">
        <v>135</v>
      </c>
      <c r="AS17" s="533"/>
      <c r="AT17" s="533"/>
      <c r="AU17" s="533"/>
      <c r="AV17" s="534"/>
      <c r="AW17" s="535" t="s">
        <v>285</v>
      </c>
      <c r="AX17" s="536"/>
      <c r="AZ17" s="377" t="s">
        <v>136</v>
      </c>
      <c r="BA17" s="378"/>
      <c r="BB17" s="378"/>
      <c r="BC17" s="378"/>
      <c r="BD17" s="378"/>
      <c r="BE17" s="379"/>
      <c r="BG17" s="532" t="s">
        <v>90</v>
      </c>
      <c r="BH17" s="533"/>
      <c r="BI17" s="533"/>
      <c r="BJ17" s="534"/>
      <c r="BK17" s="535" t="s">
        <v>285</v>
      </c>
      <c r="BL17" s="536"/>
      <c r="BN17" s="532" t="s">
        <v>90</v>
      </c>
      <c r="BO17" s="533"/>
      <c r="BP17" s="533"/>
      <c r="BQ17" s="534"/>
      <c r="BR17" s="535" t="s">
        <v>285</v>
      </c>
      <c r="BS17" s="536"/>
    </row>
    <row r="18" spans="2:71" ht="22.5" customHeight="1" x14ac:dyDescent="0.25">
      <c r="B18" s="10"/>
      <c r="C18" s="10"/>
      <c r="D18" s="10"/>
      <c r="E18" s="31"/>
      <c r="F18" s="31"/>
      <c r="G18" s="31"/>
      <c r="AN18" s="27"/>
      <c r="AZ18" s="532" t="s">
        <v>31</v>
      </c>
      <c r="BA18" s="533"/>
      <c r="BB18" s="533"/>
      <c r="BC18" s="534"/>
      <c r="BD18" s="535" t="s">
        <v>285</v>
      </c>
      <c r="BE18" s="536"/>
      <c r="BG18" s="532" t="s">
        <v>106</v>
      </c>
      <c r="BH18" s="533"/>
      <c r="BI18" s="533"/>
      <c r="BJ18" s="534"/>
      <c r="BK18" s="535" t="s">
        <v>285</v>
      </c>
      <c r="BL18" s="536"/>
      <c r="BN18" s="532" t="s">
        <v>106</v>
      </c>
      <c r="BO18" s="533"/>
      <c r="BP18" s="533"/>
      <c r="BQ18" s="534"/>
      <c r="BR18" s="535" t="s">
        <v>285</v>
      </c>
      <c r="BS18" s="536"/>
    </row>
    <row r="19" spans="2:71" ht="22.5" customHeight="1" x14ac:dyDescent="0.25">
      <c r="B19" s="10"/>
      <c r="C19" s="10"/>
      <c r="D19" s="10"/>
      <c r="E19" s="31"/>
      <c r="F19" s="31"/>
      <c r="G19" s="31"/>
      <c r="I19" s="330" t="s">
        <v>139</v>
      </c>
      <c r="J19" s="331"/>
      <c r="K19" s="331"/>
      <c r="L19" s="331"/>
      <c r="M19" s="331"/>
      <c r="N19" s="331"/>
      <c r="O19" s="331"/>
      <c r="P19" s="331"/>
      <c r="Q19" s="331"/>
      <c r="R19" s="331"/>
      <c r="S19" s="331"/>
      <c r="T19" s="331"/>
      <c r="U19" s="331"/>
      <c r="V19" s="331"/>
      <c r="X19" s="330" t="s">
        <v>87</v>
      </c>
      <c r="Y19" s="331"/>
      <c r="Z19" s="331"/>
      <c r="AA19" s="331"/>
      <c r="AB19" s="331"/>
      <c r="AC19" s="331"/>
      <c r="AD19" s="331"/>
      <c r="AE19" s="331"/>
      <c r="AF19" s="331"/>
      <c r="AG19" s="332"/>
      <c r="AN19" s="27"/>
      <c r="AZ19" s="532" t="s">
        <v>45</v>
      </c>
      <c r="BA19" s="533"/>
      <c r="BB19" s="533"/>
      <c r="BC19" s="534"/>
      <c r="BD19" s="535" t="s">
        <v>285</v>
      </c>
      <c r="BE19" s="536"/>
      <c r="BG19" s="532" t="s">
        <v>115</v>
      </c>
      <c r="BH19" s="533"/>
      <c r="BI19" s="533"/>
      <c r="BJ19" s="534"/>
      <c r="BK19" s="535" t="s">
        <v>285</v>
      </c>
      <c r="BL19" s="536"/>
      <c r="BN19" s="532" t="s">
        <v>115</v>
      </c>
      <c r="BO19" s="533"/>
      <c r="BP19" s="533"/>
      <c r="BQ19" s="534"/>
      <c r="BR19" s="535" t="s">
        <v>285</v>
      </c>
      <c r="BS19" s="536"/>
    </row>
    <row r="20" spans="2:71" ht="22.5" customHeight="1" x14ac:dyDescent="0.25">
      <c r="B20" s="10"/>
      <c r="C20" s="10"/>
      <c r="D20" s="10"/>
      <c r="E20" s="12"/>
      <c r="F20" s="12"/>
      <c r="G20" s="12"/>
      <c r="I20" s="357" t="s">
        <v>141</v>
      </c>
      <c r="J20" s="357"/>
      <c r="K20" s="357"/>
      <c r="L20" s="357"/>
      <c r="M20" s="357"/>
      <c r="N20" s="500" t="s">
        <v>305</v>
      </c>
      <c r="O20" s="500"/>
      <c r="P20" s="500"/>
      <c r="Q20" s="500"/>
      <c r="R20" s="500"/>
      <c r="S20" s="500"/>
      <c r="T20" s="500"/>
      <c r="U20" s="500"/>
      <c r="V20" s="500"/>
      <c r="X20" s="357" t="s">
        <v>97</v>
      </c>
      <c r="Y20" s="357"/>
      <c r="Z20" s="549" t="s">
        <v>306</v>
      </c>
      <c r="AA20" s="550"/>
      <c r="AB20" s="35" t="s">
        <v>99</v>
      </c>
      <c r="AC20" s="357" t="s">
        <v>100</v>
      </c>
      <c r="AD20" s="357"/>
      <c r="AE20" s="549" t="s">
        <v>306</v>
      </c>
      <c r="AF20" s="550"/>
      <c r="AG20" s="35" t="s">
        <v>101</v>
      </c>
      <c r="AZ20" s="546" t="s">
        <v>58</v>
      </c>
      <c r="BA20" s="547"/>
      <c r="BB20" s="547"/>
      <c r="BC20" s="548"/>
      <c r="BD20" s="535" t="s">
        <v>285</v>
      </c>
      <c r="BE20" s="536"/>
      <c r="BG20" s="532" t="s">
        <v>124</v>
      </c>
      <c r="BH20" s="533"/>
      <c r="BI20" s="533"/>
      <c r="BJ20" s="534"/>
      <c r="BK20" s="535" t="s">
        <v>285</v>
      </c>
      <c r="BL20" s="536"/>
      <c r="BN20" s="532" t="s">
        <v>124</v>
      </c>
      <c r="BO20" s="533"/>
      <c r="BP20" s="533"/>
      <c r="BQ20" s="534"/>
      <c r="BR20" s="535" t="s">
        <v>285</v>
      </c>
      <c r="BS20" s="536"/>
    </row>
    <row r="21" spans="2:71" ht="22.5" customHeight="1" x14ac:dyDescent="0.25">
      <c r="B21" s="10"/>
      <c r="C21" s="10"/>
      <c r="D21" s="10"/>
      <c r="E21" s="12"/>
      <c r="F21" s="12"/>
      <c r="G21" s="12"/>
      <c r="I21" s="357" t="s">
        <v>145</v>
      </c>
      <c r="J21" s="357"/>
      <c r="K21" s="357"/>
      <c r="L21" s="357"/>
      <c r="M21" s="357"/>
      <c r="N21" s="500" t="s">
        <v>307</v>
      </c>
      <c r="O21" s="500"/>
      <c r="P21" s="500"/>
      <c r="Q21" s="500"/>
      <c r="R21" s="500"/>
      <c r="S21" s="500"/>
      <c r="T21" s="500"/>
      <c r="U21" s="500"/>
      <c r="V21" s="500"/>
      <c r="X21" s="357" t="s">
        <v>110</v>
      </c>
      <c r="Y21" s="357"/>
      <c r="Z21" s="549" t="s">
        <v>306</v>
      </c>
      <c r="AA21" s="550"/>
      <c r="AB21" s="36" t="s">
        <v>111</v>
      </c>
      <c r="AC21" s="357" t="s">
        <v>112</v>
      </c>
      <c r="AD21" s="357"/>
      <c r="AE21" s="549" t="s">
        <v>306</v>
      </c>
      <c r="AF21" s="550"/>
      <c r="AG21" s="35" t="s">
        <v>101</v>
      </c>
      <c r="BG21" s="532" t="s">
        <v>58</v>
      </c>
      <c r="BH21" s="533"/>
      <c r="BI21" s="533"/>
      <c r="BJ21" s="534"/>
      <c r="BK21" s="535" t="s">
        <v>285</v>
      </c>
      <c r="BL21" s="536"/>
      <c r="BN21" s="532" t="s">
        <v>58</v>
      </c>
      <c r="BO21" s="533"/>
      <c r="BP21" s="533"/>
      <c r="BQ21" s="534"/>
      <c r="BR21" s="535" t="s">
        <v>285</v>
      </c>
      <c r="BS21" s="536"/>
    </row>
    <row r="22" spans="2:71" ht="22.5" customHeight="1" x14ac:dyDescent="0.25">
      <c r="B22" s="10"/>
      <c r="C22" s="10"/>
      <c r="D22" s="10"/>
      <c r="E22" s="12"/>
      <c r="F22" s="12"/>
      <c r="G22" s="12"/>
      <c r="I22" s="357" t="s">
        <v>148</v>
      </c>
      <c r="J22" s="357"/>
      <c r="K22" s="357"/>
      <c r="L22" s="357"/>
      <c r="M22" s="357"/>
      <c r="N22" s="500" t="s">
        <v>307</v>
      </c>
      <c r="O22" s="500"/>
      <c r="P22" s="500"/>
      <c r="Q22" s="500"/>
      <c r="R22" s="500"/>
      <c r="S22" s="500"/>
      <c r="T22" s="500"/>
      <c r="U22" s="500"/>
      <c r="V22" s="500"/>
      <c r="X22" s="357" t="s">
        <v>121</v>
      </c>
      <c r="Y22" s="357"/>
      <c r="Z22" s="549" t="s">
        <v>306</v>
      </c>
      <c r="AA22" s="550"/>
      <c r="AB22" s="36" t="s">
        <v>122</v>
      </c>
      <c r="AC22" s="357" t="s">
        <v>123</v>
      </c>
      <c r="AD22" s="357"/>
      <c r="AE22" s="549" t="s">
        <v>306</v>
      </c>
      <c r="AF22" s="550"/>
      <c r="AG22" s="35" t="s">
        <v>99</v>
      </c>
      <c r="BG22" s="532" t="s">
        <v>154</v>
      </c>
      <c r="BH22" s="533"/>
      <c r="BI22" s="533"/>
      <c r="BJ22" s="534"/>
      <c r="BK22" s="535" t="s">
        <v>285</v>
      </c>
      <c r="BL22" s="536"/>
      <c r="BN22" s="532" t="s">
        <v>154</v>
      </c>
      <c r="BO22" s="533"/>
      <c r="BP22" s="533"/>
      <c r="BQ22" s="534"/>
      <c r="BR22" s="535" t="s">
        <v>285</v>
      </c>
      <c r="BS22" s="536"/>
    </row>
    <row r="23" spans="2:71" ht="22.5" customHeight="1" x14ac:dyDescent="0.25">
      <c r="B23" s="10"/>
      <c r="C23" s="10"/>
      <c r="D23" s="12"/>
      <c r="E23" s="12"/>
      <c r="F23" s="12"/>
      <c r="O23" s="10"/>
      <c r="P23" s="10"/>
      <c r="Q23" s="10"/>
      <c r="R23" s="10"/>
      <c r="S23" s="10"/>
      <c r="X23" s="357" t="s">
        <v>131</v>
      </c>
      <c r="Y23" s="357"/>
      <c r="Z23" s="549" t="s">
        <v>306</v>
      </c>
      <c r="AA23" s="550"/>
      <c r="AB23" s="36" t="s">
        <v>132</v>
      </c>
      <c r="AC23" s="357" t="s">
        <v>133</v>
      </c>
      <c r="AD23" s="357"/>
      <c r="AE23" s="549" t="s">
        <v>306</v>
      </c>
      <c r="AF23" s="550"/>
      <c r="AG23" s="37" t="s">
        <v>105</v>
      </c>
    </row>
    <row r="25" spans="2:71" ht="17.399999999999999" x14ac:dyDescent="0.25">
      <c r="I25" s="501" t="s">
        <v>308</v>
      </c>
      <c r="J25" s="502"/>
      <c r="K25" s="502"/>
      <c r="L25" s="502"/>
      <c r="M25" s="502"/>
      <c r="N25" s="502"/>
      <c r="O25" s="502"/>
      <c r="P25" s="502"/>
      <c r="Q25" s="502"/>
      <c r="R25" s="502"/>
      <c r="S25" s="502"/>
      <c r="T25" s="502"/>
      <c r="U25" s="502"/>
      <c r="V25" s="502"/>
    </row>
    <row r="26" spans="2:71" ht="14.4" x14ac:dyDescent="0.25">
      <c r="I26" s="60" t="s">
        <v>309</v>
      </c>
      <c r="J26" s="503" t="s">
        <v>310</v>
      </c>
      <c r="K26" s="503"/>
      <c r="L26" s="503"/>
      <c r="M26" s="503"/>
      <c r="N26" s="503"/>
      <c r="O26" s="11" t="s">
        <v>101</v>
      </c>
      <c r="P26" s="60" t="s">
        <v>311</v>
      </c>
      <c r="Q26" s="504" t="s">
        <v>312</v>
      </c>
      <c r="R26" s="505"/>
      <c r="S26" s="505"/>
      <c r="T26" s="505"/>
      <c r="U26" s="506"/>
      <c r="V26" s="11" t="s">
        <v>130</v>
      </c>
    </row>
    <row r="31" spans="2:71" s="1" customFormat="1" ht="22.5" customHeight="1" x14ac:dyDescent="0.25">
      <c r="B31" s="321" t="s">
        <v>157</v>
      </c>
      <c r="C31" s="321"/>
      <c r="D31" s="321" t="s">
        <v>158</v>
      </c>
      <c r="E31" s="321"/>
      <c r="F31" s="321" t="s">
        <v>159</v>
      </c>
      <c r="G31" s="321"/>
      <c r="H31" s="321"/>
      <c r="I31" s="321" t="s">
        <v>160</v>
      </c>
      <c r="J31" s="321"/>
      <c r="K31" s="321"/>
      <c r="L31" s="321"/>
      <c r="M31" s="321"/>
      <c r="N31" s="321" t="s">
        <v>161</v>
      </c>
      <c r="O31" s="321"/>
      <c r="P31" s="321"/>
      <c r="Q31" s="321"/>
      <c r="R31" s="321"/>
      <c r="S31" s="321"/>
      <c r="T31" s="321"/>
      <c r="U31" s="321"/>
      <c r="V31" s="321"/>
      <c r="W31" s="321"/>
      <c r="X31" s="321"/>
      <c r="Y31" s="321"/>
      <c r="Z31" s="321"/>
      <c r="AA31" s="321"/>
      <c r="AB31" s="321"/>
      <c r="AC31" s="321"/>
      <c r="AD31" s="321"/>
      <c r="AE31" s="321"/>
      <c r="AF31" s="321"/>
      <c r="AG31" s="321"/>
      <c r="AH31" s="507" t="s">
        <v>162</v>
      </c>
      <c r="AI31" s="508"/>
      <c r="AJ31" s="508"/>
      <c r="AK31" s="508"/>
      <c r="AL31" s="509"/>
      <c r="AM31" s="507" t="s">
        <v>163</v>
      </c>
      <c r="AN31" s="508"/>
      <c r="AO31" s="508"/>
      <c r="AP31" s="508"/>
      <c r="AQ31" s="508"/>
      <c r="AR31" s="508"/>
      <c r="AS31" s="508"/>
      <c r="AT31" s="508"/>
      <c r="AU31" s="509"/>
      <c r="AV31" s="507" t="s">
        <v>164</v>
      </c>
      <c r="AW31" s="508"/>
      <c r="AX31" s="508"/>
      <c r="AY31" s="508"/>
      <c r="AZ31" s="508"/>
      <c r="BA31" s="508"/>
      <c r="BB31" s="508"/>
      <c r="BC31" s="508"/>
      <c r="BD31" s="508"/>
      <c r="BE31" s="508"/>
      <c r="BF31" s="508"/>
      <c r="BG31" s="508"/>
      <c r="BH31" s="508"/>
      <c r="BI31" s="508"/>
      <c r="BJ31" s="508"/>
      <c r="BK31" s="508"/>
      <c r="BL31" s="508"/>
      <c r="BM31" s="508"/>
      <c r="BN31" s="508"/>
      <c r="BO31" s="508"/>
      <c r="BP31" s="508"/>
      <c r="BQ31" s="508"/>
      <c r="BR31" s="508"/>
      <c r="BS31" s="509"/>
    </row>
    <row r="32" spans="2:71" s="2" customFormat="1" ht="22.5" customHeight="1" x14ac:dyDescent="0.25">
      <c r="B32" s="321"/>
      <c r="C32" s="321"/>
      <c r="D32" s="466" t="s">
        <v>165</v>
      </c>
      <c r="E32" s="466"/>
      <c r="F32" s="466" t="s">
        <v>166</v>
      </c>
      <c r="G32" s="466"/>
      <c r="H32" s="466"/>
      <c r="I32" s="467" t="s">
        <v>167</v>
      </c>
      <c r="J32" s="467"/>
      <c r="K32" s="467"/>
      <c r="L32" s="467"/>
      <c r="M32" s="467"/>
      <c r="N32" s="467" t="s">
        <v>167</v>
      </c>
      <c r="O32" s="467"/>
      <c r="P32" s="467"/>
      <c r="Q32" s="467"/>
      <c r="R32" s="467"/>
      <c r="S32" s="468" t="s">
        <v>168</v>
      </c>
      <c r="T32" s="469"/>
      <c r="U32" s="469"/>
      <c r="V32" s="469"/>
      <c r="W32" s="469"/>
      <c r="X32" s="469"/>
      <c r="Y32" s="469"/>
      <c r="Z32" s="469"/>
      <c r="AA32" s="470" t="s">
        <v>169</v>
      </c>
      <c r="AB32" s="471"/>
      <c r="AC32" s="471"/>
      <c r="AD32" s="471"/>
      <c r="AE32" s="471"/>
      <c r="AF32" s="471"/>
      <c r="AG32" s="471"/>
      <c r="AH32" s="470" t="s">
        <v>169</v>
      </c>
      <c r="AI32" s="471"/>
      <c r="AJ32" s="471"/>
      <c r="AK32" s="471"/>
      <c r="AL32" s="471"/>
      <c r="AM32" s="483" t="s">
        <v>170</v>
      </c>
      <c r="AN32" s="484"/>
      <c r="AO32" s="483" t="s">
        <v>171</v>
      </c>
      <c r="AP32" s="484"/>
      <c r="AQ32" s="487" t="s">
        <v>172</v>
      </c>
      <c r="AR32" s="489" t="s">
        <v>173</v>
      </c>
      <c r="AS32" s="490"/>
      <c r="AT32" s="490"/>
      <c r="AU32" s="491"/>
      <c r="AV32" s="472" t="s">
        <v>174</v>
      </c>
      <c r="AW32" s="473"/>
      <c r="AX32" s="473"/>
      <c r="AY32" s="473"/>
      <c r="AZ32" s="473"/>
      <c r="BA32" s="473"/>
      <c r="BB32" s="473"/>
      <c r="BC32" s="473"/>
      <c r="BD32" s="473"/>
      <c r="BE32" s="474"/>
      <c r="BF32" s="472" t="s">
        <v>175</v>
      </c>
      <c r="BG32" s="473"/>
      <c r="BH32" s="473"/>
      <c r="BI32" s="473"/>
      <c r="BJ32" s="473"/>
      <c r="BK32" s="474"/>
      <c r="BL32" s="472" t="s">
        <v>313</v>
      </c>
      <c r="BM32" s="473"/>
      <c r="BN32" s="473"/>
      <c r="BO32" s="474"/>
      <c r="BP32" s="472" t="s">
        <v>177</v>
      </c>
      <c r="BQ32" s="473"/>
      <c r="BR32" s="473"/>
      <c r="BS32" s="474"/>
    </row>
    <row r="33" spans="2:78" s="2" customFormat="1" ht="30" customHeight="1" x14ac:dyDescent="0.25">
      <c r="B33" s="321"/>
      <c r="C33" s="321"/>
      <c r="D33" s="466"/>
      <c r="E33" s="466"/>
      <c r="F33" s="466"/>
      <c r="G33" s="466"/>
      <c r="H33" s="466"/>
      <c r="I33" s="478" t="s">
        <v>178</v>
      </c>
      <c r="J33" s="478"/>
      <c r="K33" s="478" t="s">
        <v>179</v>
      </c>
      <c r="L33" s="478"/>
      <c r="M33" s="61" t="s">
        <v>180</v>
      </c>
      <c r="N33" s="478" t="s">
        <v>178</v>
      </c>
      <c r="O33" s="478"/>
      <c r="P33" s="478" t="s">
        <v>179</v>
      </c>
      <c r="Q33" s="478"/>
      <c r="R33" s="61" t="s">
        <v>180</v>
      </c>
      <c r="S33" s="433" t="s">
        <v>181</v>
      </c>
      <c r="T33" s="433"/>
      <c r="U33" s="479" t="s">
        <v>182</v>
      </c>
      <c r="V33" s="480"/>
      <c r="W33" s="481"/>
      <c r="X33" s="47" t="s">
        <v>183</v>
      </c>
      <c r="Y33" s="479" t="s">
        <v>184</v>
      </c>
      <c r="Z33" s="480"/>
      <c r="AA33" s="482" t="s">
        <v>178</v>
      </c>
      <c r="AB33" s="482"/>
      <c r="AC33" s="56" t="s">
        <v>185</v>
      </c>
      <c r="AD33" s="464" t="s">
        <v>179</v>
      </c>
      <c r="AE33" s="465"/>
      <c r="AF33" s="63" t="s">
        <v>186</v>
      </c>
      <c r="AG33" s="63" t="s">
        <v>187</v>
      </c>
      <c r="AH33" s="464" t="s">
        <v>178</v>
      </c>
      <c r="AI33" s="465"/>
      <c r="AJ33" s="464" t="s">
        <v>179</v>
      </c>
      <c r="AK33" s="465"/>
      <c r="AL33" s="63" t="s">
        <v>187</v>
      </c>
      <c r="AM33" s="485"/>
      <c r="AN33" s="486"/>
      <c r="AO33" s="485"/>
      <c r="AP33" s="486"/>
      <c r="AQ33" s="488"/>
      <c r="AR33" s="492"/>
      <c r="AS33" s="493"/>
      <c r="AT33" s="493"/>
      <c r="AU33" s="494"/>
      <c r="AV33" s="475"/>
      <c r="AW33" s="476"/>
      <c r="AX33" s="476"/>
      <c r="AY33" s="476"/>
      <c r="AZ33" s="476"/>
      <c r="BA33" s="476"/>
      <c r="BB33" s="476"/>
      <c r="BC33" s="476"/>
      <c r="BD33" s="476"/>
      <c r="BE33" s="477"/>
      <c r="BF33" s="475"/>
      <c r="BG33" s="476"/>
      <c r="BH33" s="476"/>
      <c r="BI33" s="476"/>
      <c r="BJ33" s="476"/>
      <c r="BK33" s="477"/>
      <c r="BL33" s="475"/>
      <c r="BM33" s="476"/>
      <c r="BN33" s="476"/>
      <c r="BO33" s="477"/>
      <c r="BP33" s="475"/>
      <c r="BQ33" s="476"/>
      <c r="BR33" s="476"/>
      <c r="BS33" s="477"/>
    </row>
    <row r="34" spans="2:78" s="57" customFormat="1" ht="39" customHeight="1" x14ac:dyDescent="0.25">
      <c r="B34" s="321"/>
      <c r="C34" s="321"/>
      <c r="D34" s="19" t="s">
        <v>188</v>
      </c>
      <c r="E34" s="19" t="s">
        <v>189</v>
      </c>
      <c r="F34" s="19" t="s">
        <v>188</v>
      </c>
      <c r="G34" s="19" t="s">
        <v>189</v>
      </c>
      <c r="H34" s="19" t="s">
        <v>190</v>
      </c>
      <c r="I34" s="19" t="s">
        <v>188</v>
      </c>
      <c r="J34" s="19" t="s">
        <v>189</v>
      </c>
      <c r="K34" s="19" t="s">
        <v>188</v>
      </c>
      <c r="L34" s="19" t="s">
        <v>189</v>
      </c>
      <c r="M34" s="19" t="s">
        <v>191</v>
      </c>
      <c r="N34" s="19" t="s">
        <v>188</v>
      </c>
      <c r="O34" s="19" t="s">
        <v>189</v>
      </c>
      <c r="P34" s="19" t="s">
        <v>188</v>
      </c>
      <c r="Q34" s="19" t="s">
        <v>189</v>
      </c>
      <c r="R34" s="19" t="s">
        <v>191</v>
      </c>
      <c r="S34" s="19" t="s">
        <v>188</v>
      </c>
      <c r="T34" s="19" t="s">
        <v>189</v>
      </c>
      <c r="U34" s="22" t="s">
        <v>192</v>
      </c>
      <c r="V34" s="22" t="s">
        <v>193</v>
      </c>
      <c r="W34" s="19" t="s">
        <v>194</v>
      </c>
      <c r="X34" s="22" t="s">
        <v>193</v>
      </c>
      <c r="Y34" s="22" t="s">
        <v>195</v>
      </c>
      <c r="Z34" s="19" t="s">
        <v>314</v>
      </c>
      <c r="AA34" s="19" t="s">
        <v>188</v>
      </c>
      <c r="AB34" s="19" t="s">
        <v>189</v>
      </c>
      <c r="AC34" s="22" t="s">
        <v>197</v>
      </c>
      <c r="AD34" s="19" t="s">
        <v>188</v>
      </c>
      <c r="AE34" s="19" t="s">
        <v>189</v>
      </c>
      <c r="AF34" s="19" t="s">
        <v>314</v>
      </c>
      <c r="AG34" s="19" t="s">
        <v>191</v>
      </c>
      <c r="AH34" s="19" t="s">
        <v>188</v>
      </c>
      <c r="AI34" s="19" t="s">
        <v>189</v>
      </c>
      <c r="AJ34" s="19" t="s">
        <v>188</v>
      </c>
      <c r="AK34" s="19" t="s">
        <v>189</v>
      </c>
      <c r="AL34" s="19" t="s">
        <v>191</v>
      </c>
      <c r="AM34" s="19" t="s">
        <v>188</v>
      </c>
      <c r="AN34" s="19" t="s">
        <v>189</v>
      </c>
      <c r="AO34" s="19" t="s">
        <v>188</v>
      </c>
      <c r="AP34" s="19" t="s">
        <v>189</v>
      </c>
      <c r="AQ34" s="19" t="s">
        <v>189</v>
      </c>
      <c r="AR34" s="19" t="s">
        <v>198</v>
      </c>
      <c r="AS34" s="19" t="s">
        <v>199</v>
      </c>
      <c r="AT34" s="19" t="s">
        <v>200</v>
      </c>
      <c r="AU34" s="19" t="s">
        <v>201</v>
      </c>
      <c r="AV34" s="22" t="s">
        <v>202</v>
      </c>
      <c r="AW34" s="22" t="s">
        <v>203</v>
      </c>
      <c r="AX34" s="22" t="s">
        <v>204</v>
      </c>
      <c r="AY34" s="22" t="s">
        <v>205</v>
      </c>
      <c r="AZ34" s="19" t="s">
        <v>188</v>
      </c>
      <c r="BA34" s="19" t="s">
        <v>189</v>
      </c>
      <c r="BB34" s="19" t="s">
        <v>206</v>
      </c>
      <c r="BC34" s="19" t="s">
        <v>207</v>
      </c>
      <c r="BD34" s="19" t="s">
        <v>208</v>
      </c>
      <c r="BE34" s="19" t="s">
        <v>209</v>
      </c>
      <c r="BF34" s="22" t="s">
        <v>202</v>
      </c>
      <c r="BG34" s="22" t="s">
        <v>203</v>
      </c>
      <c r="BH34" s="19" t="s">
        <v>188</v>
      </c>
      <c r="BI34" s="19" t="s">
        <v>189</v>
      </c>
      <c r="BJ34" s="19" t="s">
        <v>206</v>
      </c>
      <c r="BK34" s="19" t="s">
        <v>207</v>
      </c>
      <c r="BL34" s="22" t="s">
        <v>202</v>
      </c>
      <c r="BM34" s="41" t="s">
        <v>203</v>
      </c>
      <c r="BN34" s="19" t="s">
        <v>188</v>
      </c>
      <c r="BO34" s="19" t="s">
        <v>189</v>
      </c>
      <c r="BP34" s="22" t="s">
        <v>202</v>
      </c>
      <c r="BQ34" s="22" t="s">
        <v>203</v>
      </c>
      <c r="BR34" s="19" t="s">
        <v>188</v>
      </c>
      <c r="BS34" s="19" t="s">
        <v>189</v>
      </c>
    </row>
    <row r="35" spans="2:78" s="2" customFormat="1" ht="22.5" customHeight="1" x14ac:dyDescent="0.25">
      <c r="B35" s="321"/>
      <c r="C35" s="321"/>
      <c r="D35" s="6" t="s">
        <v>130</v>
      </c>
      <c r="E35" s="6" t="s">
        <v>211</v>
      </c>
      <c r="F35" s="6" t="s">
        <v>130</v>
      </c>
      <c r="G35" s="6" t="s">
        <v>211</v>
      </c>
      <c r="H35" s="6" t="s">
        <v>130</v>
      </c>
      <c r="I35" s="6" t="s">
        <v>130</v>
      </c>
      <c r="J35" s="6" t="s">
        <v>211</v>
      </c>
      <c r="K35" s="6" t="s">
        <v>130</v>
      </c>
      <c r="L35" s="6" t="s">
        <v>211</v>
      </c>
      <c r="M35" s="42" t="s">
        <v>212</v>
      </c>
      <c r="N35" s="6" t="s">
        <v>130</v>
      </c>
      <c r="O35" s="6" t="s">
        <v>211</v>
      </c>
      <c r="P35" s="6" t="s">
        <v>130</v>
      </c>
      <c r="Q35" s="6" t="s">
        <v>211</v>
      </c>
      <c r="R35" s="42" t="s">
        <v>213</v>
      </c>
      <c r="S35" s="6" t="s">
        <v>130</v>
      </c>
      <c r="T35" s="6" t="s">
        <v>211</v>
      </c>
      <c r="U35" s="6" t="s">
        <v>214</v>
      </c>
      <c r="V35" s="6" t="s">
        <v>214</v>
      </c>
      <c r="W35" s="6" t="s">
        <v>213</v>
      </c>
      <c r="X35" s="6" t="s">
        <v>214</v>
      </c>
      <c r="Y35" s="6" t="s">
        <v>214</v>
      </c>
      <c r="Z35" s="6" t="s">
        <v>215</v>
      </c>
      <c r="AA35" s="6" t="s">
        <v>130</v>
      </c>
      <c r="AB35" s="6" t="s">
        <v>211</v>
      </c>
      <c r="AC35" s="6" t="s">
        <v>214</v>
      </c>
      <c r="AD35" s="6" t="s">
        <v>130</v>
      </c>
      <c r="AE35" s="6" t="s">
        <v>211</v>
      </c>
      <c r="AF35" s="6" t="s">
        <v>215</v>
      </c>
      <c r="AG35" s="42">
        <v>1.5625E-2</v>
      </c>
      <c r="AH35" s="6" t="s">
        <v>130</v>
      </c>
      <c r="AI35" s="6" t="s">
        <v>211</v>
      </c>
      <c r="AJ35" s="6" t="s">
        <v>130</v>
      </c>
      <c r="AK35" s="6" t="s">
        <v>211</v>
      </c>
      <c r="AL35" s="42">
        <v>1.5625E-2</v>
      </c>
      <c r="AM35" s="6" t="s">
        <v>130</v>
      </c>
      <c r="AN35" s="6" t="s">
        <v>211</v>
      </c>
      <c r="AO35" s="6" t="s">
        <v>130</v>
      </c>
      <c r="AP35" s="6" t="s">
        <v>211</v>
      </c>
      <c r="AQ35" s="6" t="s">
        <v>211</v>
      </c>
      <c r="AR35" s="6" t="s">
        <v>132</v>
      </c>
      <c r="AS35" s="6" t="s">
        <v>216</v>
      </c>
      <c r="AT35" s="6" t="s">
        <v>217</v>
      </c>
      <c r="AU35" s="46" t="s">
        <v>218</v>
      </c>
      <c r="AV35" s="6" t="s">
        <v>214</v>
      </c>
      <c r="AW35" s="6" t="s">
        <v>214</v>
      </c>
      <c r="AX35" s="6" t="s">
        <v>214</v>
      </c>
      <c r="AY35" s="6" t="s">
        <v>214</v>
      </c>
      <c r="AZ35" s="6" t="s">
        <v>130</v>
      </c>
      <c r="BA35" s="6" t="s">
        <v>211</v>
      </c>
      <c r="BB35" s="40" t="s">
        <v>219</v>
      </c>
      <c r="BC35" s="40" t="s">
        <v>219</v>
      </c>
      <c r="BD35" s="40" t="s">
        <v>219</v>
      </c>
      <c r="BE35" s="40" t="s">
        <v>219</v>
      </c>
      <c r="BF35" s="6" t="s">
        <v>214</v>
      </c>
      <c r="BG35" s="6" t="s">
        <v>214</v>
      </c>
      <c r="BH35" s="39" t="s">
        <v>130</v>
      </c>
      <c r="BI35" s="39" t="s">
        <v>211</v>
      </c>
      <c r="BJ35" s="40" t="s">
        <v>219</v>
      </c>
      <c r="BK35" s="40" t="s">
        <v>219</v>
      </c>
      <c r="BL35" s="6" t="s">
        <v>214</v>
      </c>
      <c r="BM35" s="6" t="s">
        <v>214</v>
      </c>
      <c r="BN35" s="39" t="s">
        <v>130</v>
      </c>
      <c r="BO35" s="6" t="s">
        <v>211</v>
      </c>
      <c r="BP35" s="6" t="s">
        <v>214</v>
      </c>
      <c r="BQ35" s="6" t="s">
        <v>214</v>
      </c>
      <c r="BR35" s="6" t="s">
        <v>130</v>
      </c>
      <c r="BS35" s="6" t="s">
        <v>211</v>
      </c>
    </row>
    <row r="36" spans="2:78" ht="22.5" customHeight="1" x14ac:dyDescent="0.25">
      <c r="B36" s="528">
        <v>42139.416666666664</v>
      </c>
      <c r="C36" s="529"/>
      <c r="D36" s="456" t="s">
        <v>285</v>
      </c>
      <c r="E36" s="456" t="s">
        <v>285</v>
      </c>
      <c r="F36" s="456" t="s">
        <v>285</v>
      </c>
      <c r="G36" s="456" t="s">
        <v>285</v>
      </c>
      <c r="H36" s="456" t="s">
        <v>285</v>
      </c>
      <c r="I36" s="456" t="s">
        <v>285</v>
      </c>
      <c r="J36" s="456" t="s">
        <v>285</v>
      </c>
      <c r="K36" s="456" t="s">
        <v>285</v>
      </c>
      <c r="L36" s="456" t="s">
        <v>285</v>
      </c>
      <c r="M36" s="458" t="s">
        <v>315</v>
      </c>
      <c r="N36" s="456" t="s">
        <v>285</v>
      </c>
      <c r="O36" s="456" t="s">
        <v>285</v>
      </c>
      <c r="P36" s="456" t="s">
        <v>285</v>
      </c>
      <c r="Q36" s="456" t="s">
        <v>285</v>
      </c>
      <c r="R36" s="458" t="s">
        <v>315</v>
      </c>
      <c r="S36" s="456" t="s">
        <v>285</v>
      </c>
      <c r="T36" s="456" t="s">
        <v>285</v>
      </c>
      <c r="U36" s="428" t="s">
        <v>315</v>
      </c>
      <c r="V36" s="429"/>
      <c r="W36" s="429"/>
      <c r="X36" s="429"/>
      <c r="Y36" s="429"/>
      <c r="Z36" s="460"/>
      <c r="AA36" s="456" t="s">
        <v>285</v>
      </c>
      <c r="AB36" s="456" t="s">
        <v>285</v>
      </c>
      <c r="AC36" s="428" t="s">
        <v>315</v>
      </c>
      <c r="AD36" s="460"/>
      <c r="AE36" s="456" t="s">
        <v>285</v>
      </c>
      <c r="AF36" s="456" t="s">
        <v>285</v>
      </c>
      <c r="AG36" s="458" t="s">
        <v>315</v>
      </c>
      <c r="AH36" s="456" t="s">
        <v>285</v>
      </c>
      <c r="AI36" s="456" t="s">
        <v>285</v>
      </c>
      <c r="AJ36" s="456" t="s">
        <v>285</v>
      </c>
      <c r="AK36" s="456" t="s">
        <v>285</v>
      </c>
      <c r="AL36" s="458" t="s">
        <v>315</v>
      </c>
      <c r="AM36" s="456" t="s">
        <v>285</v>
      </c>
      <c r="AN36" s="456" t="s">
        <v>285</v>
      </c>
      <c r="AO36" s="456" t="s">
        <v>285</v>
      </c>
      <c r="AP36" s="456" t="s">
        <v>285</v>
      </c>
      <c r="AQ36" s="456" t="s">
        <v>285</v>
      </c>
      <c r="AR36" s="456" t="s">
        <v>285</v>
      </c>
      <c r="AS36" s="456" t="s">
        <v>285</v>
      </c>
      <c r="AT36" s="456" t="s">
        <v>285</v>
      </c>
      <c r="AU36" s="456" t="s">
        <v>285</v>
      </c>
      <c r="AV36" s="447" t="s">
        <v>316</v>
      </c>
      <c r="AW36" s="448"/>
      <c r="AX36" s="448"/>
      <c r="AY36" s="448"/>
      <c r="AZ36" s="448"/>
      <c r="BA36" s="448"/>
      <c r="BB36" s="448"/>
      <c r="BC36" s="448"/>
      <c r="BD36" s="448"/>
      <c r="BE36" s="448"/>
      <c r="BF36" s="448"/>
      <c r="BG36" s="448"/>
      <c r="BH36" s="448"/>
      <c r="BI36" s="448"/>
      <c r="BJ36" s="448"/>
      <c r="BK36" s="448"/>
      <c r="BL36" s="448"/>
      <c r="BM36" s="448"/>
      <c r="BN36" s="448"/>
      <c r="BO36" s="448"/>
      <c r="BP36" s="448"/>
      <c r="BQ36" s="448"/>
      <c r="BR36" s="448"/>
      <c r="BS36" s="449"/>
      <c r="BT36" s="48"/>
      <c r="BU36"/>
      <c r="BV36"/>
      <c r="BW36"/>
      <c r="BX36"/>
      <c r="BY36"/>
      <c r="BZ36"/>
    </row>
    <row r="37" spans="2:78" ht="22.5" customHeight="1" x14ac:dyDescent="0.25">
      <c r="B37" s="530">
        <v>42139.458333333336</v>
      </c>
      <c r="C37" s="531"/>
      <c r="D37" s="457"/>
      <c r="E37" s="457"/>
      <c r="F37" s="457"/>
      <c r="G37" s="457"/>
      <c r="H37" s="457"/>
      <c r="I37" s="457"/>
      <c r="J37" s="457"/>
      <c r="K37" s="457"/>
      <c r="L37" s="457"/>
      <c r="M37" s="459"/>
      <c r="N37" s="457"/>
      <c r="O37" s="457"/>
      <c r="P37" s="457"/>
      <c r="Q37" s="457"/>
      <c r="R37" s="459"/>
      <c r="S37" s="457"/>
      <c r="T37" s="457"/>
      <c r="U37" s="461"/>
      <c r="V37" s="463"/>
      <c r="W37" s="463"/>
      <c r="X37" s="463"/>
      <c r="Y37" s="463"/>
      <c r="Z37" s="462"/>
      <c r="AA37" s="457"/>
      <c r="AB37" s="457"/>
      <c r="AC37" s="461"/>
      <c r="AD37" s="462"/>
      <c r="AE37" s="457"/>
      <c r="AF37" s="457"/>
      <c r="AG37" s="459"/>
      <c r="AH37" s="457"/>
      <c r="AI37" s="457"/>
      <c r="AJ37" s="457"/>
      <c r="AK37" s="457"/>
      <c r="AL37" s="459"/>
      <c r="AM37" s="457"/>
      <c r="AN37" s="457"/>
      <c r="AO37" s="457"/>
      <c r="AP37" s="457"/>
      <c r="AQ37" s="457"/>
      <c r="AR37" s="457"/>
      <c r="AS37" s="457"/>
      <c r="AT37" s="457"/>
      <c r="AU37" s="457"/>
      <c r="AV37" s="450"/>
      <c r="AW37" s="451"/>
      <c r="AX37" s="451"/>
      <c r="AY37" s="451"/>
      <c r="AZ37" s="451"/>
      <c r="BA37" s="451"/>
      <c r="BB37" s="451"/>
      <c r="BC37" s="451"/>
      <c r="BD37" s="451"/>
      <c r="BE37" s="451"/>
      <c r="BF37" s="451"/>
      <c r="BG37" s="451"/>
      <c r="BH37" s="451"/>
      <c r="BI37" s="451"/>
      <c r="BJ37" s="451"/>
      <c r="BK37" s="451"/>
      <c r="BL37" s="451"/>
      <c r="BM37" s="451"/>
      <c r="BN37" s="451"/>
      <c r="BO37" s="451"/>
      <c r="BP37" s="451"/>
      <c r="BQ37" s="451"/>
      <c r="BR37" s="451"/>
      <c r="BS37" s="452"/>
      <c r="BT37" s="48"/>
      <c r="BU37"/>
      <c r="BV37"/>
      <c r="BW37"/>
      <c r="BX37"/>
      <c r="BY37"/>
      <c r="BZ37"/>
    </row>
    <row r="38" spans="2:78" ht="22.5" customHeight="1" x14ac:dyDescent="0.25">
      <c r="B38" s="319" t="s">
        <v>221</v>
      </c>
      <c r="C38" s="319"/>
      <c r="D38" s="453" t="s">
        <v>317</v>
      </c>
      <c r="E38" s="454"/>
      <c r="F38" s="454"/>
      <c r="G38" s="454"/>
      <c r="H38" s="454"/>
      <c r="I38" s="454"/>
      <c r="J38" s="454"/>
      <c r="K38" s="454"/>
      <c r="L38" s="454"/>
      <c r="M38" s="454"/>
      <c r="N38" s="454"/>
      <c r="O38" s="454"/>
      <c r="P38" s="454"/>
      <c r="Q38" s="454"/>
      <c r="R38" s="454"/>
      <c r="S38" s="454"/>
      <c r="T38" s="454"/>
      <c r="U38" s="454"/>
      <c r="V38" s="454"/>
      <c r="W38" s="454"/>
      <c r="X38" s="454"/>
      <c r="Y38" s="454"/>
      <c r="Z38" s="454"/>
      <c r="AA38" s="454"/>
      <c r="AB38" s="454"/>
      <c r="AC38" s="454"/>
      <c r="AD38" s="454"/>
      <c r="AE38" s="454"/>
      <c r="AF38" s="454"/>
      <c r="AG38" s="454"/>
      <c r="AH38" s="454"/>
      <c r="AI38" s="454"/>
      <c r="AJ38" s="454"/>
      <c r="AK38" s="454"/>
      <c r="AL38" s="454"/>
      <c r="AM38" s="454"/>
      <c r="AN38" s="454"/>
      <c r="AO38" s="454"/>
      <c r="AP38" s="454"/>
      <c r="AQ38" s="454"/>
      <c r="AR38" s="454"/>
      <c r="AS38" s="454"/>
      <c r="AT38" s="454"/>
      <c r="AU38" s="454"/>
      <c r="AV38" s="454"/>
      <c r="AW38" s="454"/>
      <c r="AX38" s="454"/>
      <c r="AY38" s="454"/>
      <c r="AZ38" s="454"/>
      <c r="BA38" s="454"/>
      <c r="BB38" s="454"/>
      <c r="BC38" s="454"/>
      <c r="BD38" s="454"/>
      <c r="BE38" s="454"/>
      <c r="BF38" s="454"/>
      <c r="BG38" s="454"/>
      <c r="BH38" s="454"/>
      <c r="BI38" s="454"/>
      <c r="BJ38" s="454"/>
      <c r="BK38" s="454"/>
      <c r="BL38" s="454"/>
      <c r="BM38" s="454"/>
      <c r="BN38" s="454"/>
      <c r="BO38" s="454"/>
      <c r="BP38" s="454"/>
      <c r="BQ38" s="454"/>
      <c r="BR38" s="454"/>
      <c r="BS38" s="455"/>
      <c r="BT38"/>
      <c r="BU38"/>
      <c r="BV38"/>
      <c r="BW38"/>
      <c r="BX38"/>
      <c r="BY38"/>
      <c r="BZ38"/>
    </row>
    <row r="40" spans="2:78" ht="22.5" customHeight="1" x14ac:dyDescent="0.25">
      <c r="D40" s="16"/>
      <c r="BP40"/>
      <c r="BQ40"/>
      <c r="BR40"/>
      <c r="BS40"/>
      <c r="BT40"/>
      <c r="BU40"/>
      <c r="BV40"/>
      <c r="BW40"/>
      <c r="BX40"/>
      <c r="BY40"/>
      <c r="BZ40"/>
    </row>
    <row r="41" spans="2:78" ht="22.5" customHeight="1" x14ac:dyDescent="0.25">
      <c r="D41" s="8" t="s">
        <v>180</v>
      </c>
      <c r="E41" s="432" t="s">
        <v>318</v>
      </c>
      <c r="F41" s="432"/>
      <c r="G41" s="432"/>
      <c r="H41" s="432"/>
      <c r="I41" s="432"/>
      <c r="J41" s="432"/>
      <c r="K41" s="432"/>
      <c r="L41" s="432"/>
      <c r="N41" s="433" t="s">
        <v>182</v>
      </c>
      <c r="O41" s="433"/>
      <c r="P41" s="433"/>
      <c r="Q41" s="433"/>
      <c r="R41" s="433"/>
      <c r="S41" s="432" t="s">
        <v>319</v>
      </c>
      <c r="T41" s="432"/>
      <c r="U41" s="432"/>
      <c r="V41" s="432"/>
      <c r="W41" s="432"/>
      <c r="X41" s="432"/>
      <c r="Y41" s="432"/>
      <c r="Z41" s="432"/>
      <c r="AA41" s="432"/>
      <c r="AB41" s="432"/>
      <c r="AC41" s="432"/>
      <c r="AD41" s="432"/>
      <c r="AE41" s="432"/>
      <c r="AF41" s="432"/>
      <c r="AG41" s="432"/>
      <c r="AH41" s="432"/>
      <c r="AI41" s="432"/>
      <c r="AJ41" s="432"/>
      <c r="AL41" s="433" t="s">
        <v>320</v>
      </c>
      <c r="AM41" s="434"/>
      <c r="AN41" s="434"/>
      <c r="AO41" s="434"/>
      <c r="AP41" s="434"/>
      <c r="AQ41" s="432" t="s">
        <v>321</v>
      </c>
      <c r="AR41" s="432"/>
      <c r="AS41" s="432"/>
      <c r="AT41" s="432"/>
      <c r="AU41" s="432"/>
      <c r="AV41" s="432"/>
      <c r="AW41" s="432"/>
      <c r="AX41" s="432"/>
      <c r="AY41" s="432"/>
      <c r="AZ41" s="432"/>
      <c r="BA41" s="432"/>
      <c r="BB41" s="432"/>
      <c r="BC41" s="432"/>
      <c r="BD41" s="432"/>
      <c r="BE41" s="432"/>
      <c r="BF41" s="432"/>
      <c r="BG41" s="432"/>
      <c r="BH41" s="432"/>
      <c r="BI41" s="432"/>
      <c r="BJ41" s="432"/>
      <c r="BK41" s="432"/>
      <c r="BL41" s="432"/>
      <c r="BP41"/>
      <c r="BQ41"/>
      <c r="BR41"/>
      <c r="BS41"/>
      <c r="BT41"/>
      <c r="BU41"/>
      <c r="BV41"/>
      <c r="BW41"/>
      <c r="BX41"/>
      <c r="BY41"/>
      <c r="BZ41"/>
    </row>
    <row r="42" spans="2:78" ht="22.5" customHeight="1" x14ac:dyDescent="0.25">
      <c r="D42" s="58" t="s">
        <v>191</v>
      </c>
      <c r="E42" s="432"/>
      <c r="F42" s="432"/>
      <c r="G42" s="432"/>
      <c r="H42" s="432"/>
      <c r="I42" s="432"/>
      <c r="J42" s="432"/>
      <c r="K42" s="432"/>
      <c r="L42" s="432"/>
      <c r="N42" s="22" t="s">
        <v>322</v>
      </c>
      <c r="O42" s="435" t="s">
        <v>323</v>
      </c>
      <c r="P42" s="436"/>
      <c r="Q42" s="436"/>
      <c r="R42" s="436"/>
      <c r="S42" s="436"/>
      <c r="T42" s="436"/>
      <c r="U42" s="436"/>
      <c r="V42" s="436"/>
      <c r="W42" s="436"/>
      <c r="X42" s="436"/>
      <c r="Y42" s="436"/>
      <c r="Z42" s="436"/>
      <c r="AA42" s="436"/>
      <c r="AB42" s="436"/>
      <c r="AC42" s="436"/>
      <c r="AD42" s="436"/>
      <c r="AE42" s="436"/>
      <c r="AF42" s="436"/>
      <c r="AG42" s="436"/>
      <c r="AH42" s="436"/>
      <c r="AI42" s="436"/>
      <c r="AJ42" s="437"/>
      <c r="AL42" s="22" t="s">
        <v>193</v>
      </c>
      <c r="AM42" s="441" t="s">
        <v>324</v>
      </c>
      <c r="AN42" s="442"/>
      <c r="AO42" s="442"/>
      <c r="AP42" s="442"/>
      <c r="AQ42" s="442"/>
      <c r="AR42" s="442"/>
      <c r="AS42" s="442"/>
      <c r="AT42" s="442"/>
      <c r="AU42" s="442"/>
      <c r="AV42" s="442"/>
      <c r="AW42" s="442"/>
      <c r="AX42" s="442"/>
      <c r="AY42" s="442"/>
      <c r="AZ42" s="442"/>
      <c r="BA42" s="442"/>
      <c r="BB42" s="442"/>
      <c r="BC42" s="442"/>
      <c r="BD42" s="442"/>
      <c r="BE42" s="442"/>
      <c r="BF42" s="442"/>
      <c r="BG42" s="442"/>
      <c r="BH42" s="442"/>
      <c r="BI42" s="442"/>
      <c r="BJ42" s="442"/>
      <c r="BK42" s="442"/>
      <c r="BL42" s="443"/>
      <c r="BP42"/>
      <c r="BQ42"/>
      <c r="BR42"/>
      <c r="BS42"/>
      <c r="BT42"/>
      <c r="BU42"/>
      <c r="BV42"/>
      <c r="BW42"/>
      <c r="BX42"/>
      <c r="BY42"/>
      <c r="BZ42"/>
    </row>
    <row r="43" spans="2:78" ht="22.5" customHeight="1" x14ac:dyDescent="0.25">
      <c r="D43" s="28">
        <v>1.5625E-2</v>
      </c>
      <c r="E43" s="432"/>
      <c r="F43" s="432"/>
      <c r="G43" s="432"/>
      <c r="H43" s="432"/>
      <c r="I43" s="432"/>
      <c r="J43" s="432"/>
      <c r="K43" s="432"/>
      <c r="L43" s="432"/>
      <c r="N43" s="6" t="s">
        <v>214</v>
      </c>
      <c r="O43" s="438"/>
      <c r="P43" s="439"/>
      <c r="Q43" s="439"/>
      <c r="R43" s="439"/>
      <c r="S43" s="439"/>
      <c r="T43" s="439"/>
      <c r="U43" s="439"/>
      <c r="V43" s="439"/>
      <c r="W43" s="439"/>
      <c r="X43" s="439"/>
      <c r="Y43" s="439"/>
      <c r="Z43" s="439"/>
      <c r="AA43" s="439"/>
      <c r="AB43" s="439"/>
      <c r="AC43" s="439"/>
      <c r="AD43" s="439"/>
      <c r="AE43" s="439"/>
      <c r="AF43" s="439"/>
      <c r="AG43" s="439"/>
      <c r="AH43" s="439"/>
      <c r="AI43" s="439"/>
      <c r="AJ43" s="440"/>
      <c r="AL43" s="6" t="s">
        <v>214</v>
      </c>
      <c r="AM43" s="444"/>
      <c r="AN43" s="445"/>
      <c r="AO43" s="445"/>
      <c r="AP43" s="445"/>
      <c r="AQ43" s="445"/>
      <c r="AR43" s="445"/>
      <c r="AS43" s="445"/>
      <c r="AT43" s="445"/>
      <c r="AU43" s="445"/>
      <c r="AV43" s="445"/>
      <c r="AW43" s="445"/>
      <c r="AX43" s="445"/>
      <c r="AY43" s="445"/>
      <c r="AZ43" s="445"/>
      <c r="BA43" s="445"/>
      <c r="BB43" s="445"/>
      <c r="BC43" s="445"/>
      <c r="BD43" s="445"/>
      <c r="BE43" s="445"/>
      <c r="BF43" s="445"/>
      <c r="BG43" s="445"/>
      <c r="BH43" s="445"/>
      <c r="BI43" s="445"/>
      <c r="BJ43" s="445"/>
      <c r="BK43" s="445"/>
      <c r="BL43" s="446"/>
      <c r="BP43"/>
      <c r="BQ43"/>
      <c r="BR43"/>
      <c r="BS43"/>
      <c r="BT43"/>
      <c r="BU43"/>
      <c r="BV43"/>
      <c r="BW43"/>
      <c r="BX43"/>
      <c r="BY43"/>
      <c r="BZ43"/>
    </row>
    <row r="44" spans="2:78" ht="22.5" customHeight="1" x14ac:dyDescent="0.25">
      <c r="N44" s="19" t="s">
        <v>194</v>
      </c>
      <c r="O44" s="432" t="s">
        <v>325</v>
      </c>
      <c r="P44" s="432"/>
      <c r="Q44" s="432"/>
      <c r="R44" s="432"/>
      <c r="S44" s="432"/>
      <c r="T44" s="432"/>
      <c r="U44" s="432"/>
      <c r="V44" s="432"/>
      <c r="W44" s="432"/>
      <c r="X44" s="432"/>
      <c r="Y44" s="432"/>
      <c r="Z44" s="432"/>
      <c r="AA44" s="432"/>
      <c r="AB44" s="432"/>
      <c r="AC44" s="432"/>
      <c r="AD44" s="432"/>
      <c r="AE44" s="432"/>
      <c r="AF44" s="432"/>
      <c r="AG44" s="432"/>
      <c r="AH44" s="432"/>
      <c r="AI44" s="432"/>
      <c r="AJ44" s="432"/>
      <c r="AL44" s="59"/>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P44"/>
      <c r="BQ44"/>
      <c r="BR44"/>
      <c r="BS44"/>
      <c r="BT44"/>
      <c r="BU44"/>
      <c r="BV44"/>
      <c r="BW44"/>
      <c r="BX44"/>
      <c r="BY44"/>
      <c r="BZ44"/>
    </row>
    <row r="45" spans="2:78" ht="22.5" customHeight="1" x14ac:dyDescent="0.25">
      <c r="N45" s="6" t="s">
        <v>213</v>
      </c>
      <c r="O45" s="432"/>
      <c r="P45" s="432"/>
      <c r="Q45" s="432"/>
      <c r="R45" s="432"/>
      <c r="S45" s="432"/>
      <c r="T45" s="432"/>
      <c r="U45" s="432"/>
      <c r="V45" s="432"/>
      <c r="W45" s="432"/>
      <c r="X45" s="432"/>
      <c r="Y45" s="432"/>
      <c r="Z45" s="432"/>
      <c r="AA45" s="432"/>
      <c r="AB45" s="432"/>
      <c r="AC45" s="432"/>
      <c r="AD45" s="432"/>
      <c r="AE45" s="432"/>
      <c r="AF45" s="432"/>
      <c r="AG45" s="432"/>
      <c r="AH45" s="432"/>
      <c r="AI45" s="432"/>
      <c r="AJ45" s="432"/>
      <c r="AL45" s="433" t="s">
        <v>326</v>
      </c>
      <c r="AM45" s="434"/>
      <c r="AN45" s="434"/>
      <c r="AO45" s="434"/>
      <c r="AP45" s="434"/>
      <c r="AQ45" s="432" t="s">
        <v>327</v>
      </c>
      <c r="AR45" s="432"/>
      <c r="AS45" s="432"/>
      <c r="AT45" s="432"/>
      <c r="AU45" s="432"/>
      <c r="AV45" s="432"/>
      <c r="AW45" s="432"/>
      <c r="AX45" s="432"/>
      <c r="AY45" s="432"/>
      <c r="AZ45" s="432"/>
      <c r="BA45" s="432"/>
      <c r="BB45" s="432"/>
      <c r="BC45" s="432"/>
      <c r="BD45" s="432"/>
      <c r="BE45" s="432"/>
      <c r="BF45" s="432"/>
      <c r="BG45" s="432"/>
      <c r="BH45" s="432"/>
      <c r="BI45" s="432"/>
      <c r="BJ45" s="432"/>
      <c r="BK45" s="432"/>
      <c r="BL45" s="432"/>
      <c r="BP45"/>
      <c r="BQ45"/>
      <c r="BR45"/>
      <c r="BS45"/>
      <c r="BT45"/>
      <c r="BU45"/>
      <c r="BV45"/>
      <c r="BW45"/>
      <c r="BX45"/>
      <c r="BY45"/>
      <c r="BZ45"/>
    </row>
    <row r="46" spans="2:78" ht="22.5" customHeight="1" x14ac:dyDescent="0.25">
      <c r="N46" s="22" t="s">
        <v>193</v>
      </c>
      <c r="O46" s="435" t="s">
        <v>328</v>
      </c>
      <c r="P46" s="436"/>
      <c r="Q46" s="436"/>
      <c r="R46" s="436"/>
      <c r="S46" s="436"/>
      <c r="T46" s="436"/>
      <c r="U46" s="436"/>
      <c r="V46" s="436"/>
      <c r="W46" s="436"/>
      <c r="X46" s="436"/>
      <c r="Y46" s="436"/>
      <c r="Z46" s="436"/>
      <c r="AA46" s="436"/>
      <c r="AB46" s="436"/>
      <c r="AC46" s="436"/>
      <c r="AD46" s="436"/>
      <c r="AE46" s="436"/>
      <c r="AF46" s="436"/>
      <c r="AG46" s="436"/>
      <c r="AH46" s="436"/>
      <c r="AI46" s="436"/>
      <c r="AJ46" s="437"/>
      <c r="AL46" s="18" t="s">
        <v>329</v>
      </c>
      <c r="AM46" s="441" t="s">
        <v>330</v>
      </c>
      <c r="AN46" s="442"/>
      <c r="AO46" s="442"/>
      <c r="AP46" s="442"/>
      <c r="AQ46" s="442"/>
      <c r="AR46" s="442"/>
      <c r="AS46" s="442"/>
      <c r="AT46" s="442"/>
      <c r="AU46" s="442"/>
      <c r="AV46" s="442"/>
      <c r="AW46" s="442"/>
      <c r="AX46" s="442"/>
      <c r="AY46" s="442"/>
      <c r="AZ46" s="442"/>
      <c r="BA46" s="442"/>
      <c r="BB46" s="442"/>
      <c r="BC46" s="442"/>
      <c r="BD46" s="442"/>
      <c r="BE46" s="442"/>
      <c r="BF46" s="442"/>
      <c r="BG46" s="442"/>
      <c r="BH46" s="442"/>
      <c r="BI46" s="442"/>
      <c r="BJ46" s="442"/>
      <c r="BK46" s="442"/>
      <c r="BL46" s="443"/>
      <c r="BP46"/>
      <c r="BQ46"/>
      <c r="BR46"/>
      <c r="BS46"/>
      <c r="BT46"/>
      <c r="BU46"/>
      <c r="BV46"/>
      <c r="BW46"/>
      <c r="BX46"/>
      <c r="BY46"/>
      <c r="BZ46"/>
    </row>
    <row r="47" spans="2:78" ht="22.5" customHeight="1" x14ac:dyDescent="0.25">
      <c r="N47" s="6" t="s">
        <v>214</v>
      </c>
      <c r="O47" s="438"/>
      <c r="P47" s="439"/>
      <c r="Q47" s="439"/>
      <c r="R47" s="439"/>
      <c r="S47" s="439"/>
      <c r="T47" s="439"/>
      <c r="U47" s="439"/>
      <c r="V47" s="439"/>
      <c r="W47" s="439"/>
      <c r="X47" s="439"/>
      <c r="Y47" s="439"/>
      <c r="Z47" s="439"/>
      <c r="AA47" s="439"/>
      <c r="AB47" s="439"/>
      <c r="AC47" s="439"/>
      <c r="AD47" s="439"/>
      <c r="AE47" s="439"/>
      <c r="AF47" s="439"/>
      <c r="AG47" s="439"/>
      <c r="AH47" s="439"/>
      <c r="AI47" s="439"/>
      <c r="AJ47" s="440"/>
      <c r="AL47" s="4" t="s">
        <v>214</v>
      </c>
      <c r="AM47" s="444"/>
      <c r="AN47" s="445"/>
      <c r="AO47" s="445"/>
      <c r="AP47" s="445"/>
      <c r="AQ47" s="445"/>
      <c r="AR47" s="445"/>
      <c r="AS47" s="445"/>
      <c r="AT47" s="445"/>
      <c r="AU47" s="445"/>
      <c r="AV47" s="445"/>
      <c r="AW47" s="445"/>
      <c r="AX47" s="445"/>
      <c r="AY47" s="445"/>
      <c r="AZ47" s="445"/>
      <c r="BA47" s="445"/>
      <c r="BB47" s="445"/>
      <c r="BC47" s="445"/>
      <c r="BD47" s="445"/>
      <c r="BE47" s="445"/>
      <c r="BF47" s="445"/>
      <c r="BG47" s="445"/>
      <c r="BH47" s="445"/>
      <c r="BI47" s="445"/>
      <c r="BJ47" s="445"/>
      <c r="BK47" s="445"/>
      <c r="BL47" s="446"/>
      <c r="BP47"/>
      <c r="BQ47"/>
      <c r="BR47"/>
      <c r="BS47"/>
      <c r="BT47"/>
      <c r="BU47"/>
      <c r="BV47"/>
      <c r="BW47"/>
      <c r="BX47"/>
      <c r="BY47"/>
      <c r="BZ47"/>
    </row>
    <row r="48" spans="2:78" ht="22.5" customHeight="1" x14ac:dyDescent="0.25">
      <c r="AL48" s="18" t="s">
        <v>314</v>
      </c>
      <c r="AM48" s="432" t="s">
        <v>331</v>
      </c>
      <c r="AN48" s="432"/>
      <c r="AO48" s="432"/>
      <c r="AP48" s="432"/>
      <c r="AQ48" s="432"/>
      <c r="AR48" s="432"/>
      <c r="AS48" s="432"/>
      <c r="AT48" s="432"/>
      <c r="AU48" s="432"/>
      <c r="AV48" s="432"/>
      <c r="AW48" s="432"/>
      <c r="AX48" s="432"/>
      <c r="AY48" s="432"/>
      <c r="AZ48" s="432"/>
      <c r="BA48" s="432"/>
      <c r="BB48" s="432"/>
      <c r="BC48" s="432"/>
      <c r="BD48" s="432"/>
      <c r="BE48" s="432"/>
      <c r="BF48" s="432"/>
      <c r="BG48" s="432"/>
      <c r="BH48" s="432"/>
      <c r="BI48" s="432"/>
      <c r="BJ48" s="432"/>
      <c r="BK48" s="432"/>
      <c r="BL48" s="432"/>
      <c r="BP48"/>
      <c r="BQ48"/>
      <c r="BR48"/>
      <c r="BS48"/>
      <c r="BT48"/>
      <c r="BU48"/>
      <c r="BV48"/>
      <c r="BW48"/>
      <c r="BX48"/>
      <c r="BY48"/>
      <c r="BZ48"/>
    </row>
    <row r="49" spans="2:78" ht="22.5" customHeight="1" x14ac:dyDescent="0.25">
      <c r="AL49" s="4"/>
      <c r="AM49" s="49"/>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1"/>
      <c r="BP49"/>
      <c r="BQ49"/>
      <c r="BR49"/>
      <c r="BS49"/>
      <c r="BT49"/>
      <c r="BU49"/>
      <c r="BV49"/>
      <c r="BW49"/>
      <c r="BX49"/>
      <c r="BY49"/>
      <c r="BZ49"/>
    </row>
    <row r="50" spans="2:78" ht="22.5" customHeight="1" x14ac:dyDescent="0.25">
      <c r="BP50"/>
      <c r="BQ50"/>
      <c r="BR50"/>
      <c r="BS50"/>
      <c r="BT50"/>
      <c r="BU50"/>
      <c r="BV50"/>
      <c r="BW50"/>
      <c r="BX50"/>
      <c r="BY50"/>
      <c r="BZ50"/>
    </row>
    <row r="51" spans="2:78" ht="22.5" customHeight="1" x14ac:dyDescent="0.25"/>
    <row r="52" spans="2:78" ht="22.5" customHeight="1" x14ac:dyDescent="0.25">
      <c r="B52" s="422" t="s">
        <v>222</v>
      </c>
      <c r="C52" s="423"/>
      <c r="D52" s="423"/>
      <c r="E52" s="423"/>
      <c r="F52" s="423"/>
      <c r="G52" s="423"/>
      <c r="H52" s="423"/>
      <c r="I52" s="423"/>
      <c r="J52" s="423"/>
      <c r="K52" s="423"/>
      <c r="L52" s="423"/>
      <c r="M52" s="423"/>
      <c r="N52" s="423"/>
      <c r="O52" s="423"/>
      <c r="P52" s="423"/>
      <c r="Q52" s="423"/>
      <c r="R52" s="423"/>
      <c r="S52" s="423"/>
      <c r="T52" s="423"/>
      <c r="U52" s="423"/>
      <c r="V52" s="423"/>
      <c r="W52" s="423"/>
      <c r="X52" s="423"/>
      <c r="Z52" s="64"/>
      <c r="AA52" s="25"/>
      <c r="AB52" s="13" t="s">
        <v>223</v>
      </c>
      <c r="AC52" s="14"/>
      <c r="AD52" s="14"/>
      <c r="AE52" s="14"/>
      <c r="AF52" s="14"/>
      <c r="AG52" s="14"/>
      <c r="AH52" s="14"/>
      <c r="AI52" s="14"/>
      <c r="AJ52" s="14"/>
      <c r="AK52" s="14"/>
      <c r="AL52" s="14"/>
      <c r="AM52" s="14"/>
      <c r="AN52" s="14"/>
      <c r="AO52" s="14"/>
      <c r="AP52" s="14"/>
      <c r="AQ52" s="14"/>
      <c r="AR52" s="14"/>
      <c r="AS52" s="14"/>
      <c r="AT52" s="15"/>
      <c r="AU52" s="45"/>
      <c r="AV52" s="308" t="s">
        <v>224</v>
      </c>
      <c r="AW52" s="308"/>
      <c r="AX52" s="308"/>
      <c r="AY52" s="308"/>
      <c r="AZ52" s="308"/>
      <c r="BA52" s="308"/>
      <c r="BB52" s="308"/>
      <c r="BC52" s="308"/>
      <c r="BD52" s="308"/>
      <c r="BE52" s="308"/>
      <c r="BF52" s="308"/>
      <c r="BG52" s="308"/>
      <c r="BH52" s="308"/>
      <c r="BI52" s="308"/>
      <c r="BJ52" s="308"/>
      <c r="BK52" s="308"/>
      <c r="BL52" s="308"/>
      <c r="BM52" s="308"/>
      <c r="BN52" s="308"/>
      <c r="BO52" s="308"/>
      <c r="BP52" s="308"/>
      <c r="BQ52" s="308"/>
      <c r="BR52" s="308"/>
      <c r="BS52" s="308"/>
    </row>
    <row r="53" spans="2:78" ht="22.5" customHeight="1" x14ac:dyDescent="0.25">
      <c r="B53" s="424"/>
      <c r="C53" s="425"/>
      <c r="D53" s="425"/>
      <c r="E53" s="425"/>
      <c r="F53" s="425"/>
      <c r="G53" s="425"/>
      <c r="H53" s="425"/>
      <c r="I53" s="425"/>
      <c r="J53" s="425"/>
      <c r="K53" s="425"/>
      <c r="L53" s="425"/>
      <c r="M53" s="425"/>
      <c r="N53" s="425"/>
      <c r="O53" s="425"/>
      <c r="P53" s="425"/>
      <c r="Q53" s="425"/>
      <c r="R53" s="425"/>
      <c r="S53" s="425"/>
      <c r="T53" s="425"/>
      <c r="U53" s="425"/>
      <c r="V53" s="425"/>
      <c r="W53" s="425"/>
      <c r="X53" s="425"/>
      <c r="Z53" s="64"/>
      <c r="AA53" s="25"/>
      <c r="AB53" s="543" t="s">
        <v>332</v>
      </c>
      <c r="AC53" s="544"/>
      <c r="AD53" s="544"/>
      <c r="AE53" s="544"/>
      <c r="AF53" s="544"/>
      <c r="AG53" s="544"/>
      <c r="AH53" s="544"/>
      <c r="AI53" s="544"/>
      <c r="AJ53" s="544"/>
      <c r="AK53" s="544"/>
      <c r="AL53" s="544"/>
      <c r="AM53" s="544"/>
      <c r="AN53" s="544"/>
      <c r="AO53" s="544"/>
      <c r="AP53" s="544"/>
      <c r="AQ53" s="544"/>
      <c r="AR53" s="544"/>
      <c r="AS53" s="544"/>
      <c r="AT53" s="545"/>
      <c r="AU53" s="43"/>
      <c r="AV53" s="274"/>
      <c r="AW53" s="274"/>
      <c r="AX53" s="272" t="s">
        <v>226</v>
      </c>
      <c r="AY53" s="273"/>
      <c r="AZ53" s="272" t="s">
        <v>227</v>
      </c>
      <c r="BA53" s="359"/>
      <c r="BB53" s="267" t="s">
        <v>228</v>
      </c>
      <c r="BC53" s="267"/>
      <c r="BD53" s="267"/>
      <c r="BE53" s="267"/>
      <c r="BF53" s="267"/>
      <c r="BG53" s="267"/>
      <c r="BH53" s="267"/>
      <c r="BI53" s="267"/>
      <c r="BJ53" s="267"/>
      <c r="BK53" s="267"/>
      <c r="BL53" s="296" t="s">
        <v>229</v>
      </c>
      <c r="BM53" s="297"/>
      <c r="BN53" s="297"/>
      <c r="BO53" s="297"/>
      <c r="BP53" s="297"/>
      <c r="BQ53" s="297"/>
      <c r="BR53" s="297"/>
      <c r="BS53" s="298"/>
    </row>
    <row r="54" spans="2:78" ht="22.5" customHeight="1" x14ac:dyDescent="0.25">
      <c r="B54" s="308" t="s">
        <v>230</v>
      </c>
      <c r="C54" s="308" t="s">
        <v>333</v>
      </c>
      <c r="D54" s="309" t="s">
        <v>232</v>
      </c>
      <c r="E54" s="309"/>
      <c r="F54" s="309"/>
      <c r="G54" s="309"/>
      <c r="H54" s="309"/>
      <c r="I54" s="309"/>
      <c r="J54" s="309"/>
      <c r="K54" s="309"/>
      <c r="L54" s="309" t="s">
        <v>233</v>
      </c>
      <c r="M54" s="309"/>
      <c r="N54" s="309"/>
      <c r="O54" s="309"/>
      <c r="P54" s="310" t="s">
        <v>213</v>
      </c>
      <c r="Q54" s="311"/>
      <c r="R54" s="311"/>
      <c r="S54" s="311"/>
      <c r="T54" s="7" t="s">
        <v>130</v>
      </c>
      <c r="U54" s="7" t="s">
        <v>130</v>
      </c>
      <c r="V54" s="7" t="s">
        <v>211</v>
      </c>
      <c r="W54" s="17" t="s">
        <v>213</v>
      </c>
      <c r="X54" s="7" t="s">
        <v>132</v>
      </c>
      <c r="AA54" s="23"/>
      <c r="AB54" s="525"/>
      <c r="AC54" s="526"/>
      <c r="AD54" s="526"/>
      <c r="AE54" s="526"/>
      <c r="AF54" s="526"/>
      <c r="AG54" s="526"/>
      <c r="AH54" s="526"/>
      <c r="AI54" s="526"/>
      <c r="AJ54" s="526"/>
      <c r="AK54" s="526"/>
      <c r="AL54" s="526"/>
      <c r="AM54" s="526"/>
      <c r="AN54" s="526"/>
      <c r="AO54" s="526"/>
      <c r="AP54" s="526"/>
      <c r="AQ54" s="526"/>
      <c r="AR54" s="526"/>
      <c r="AS54" s="526"/>
      <c r="AT54" s="527"/>
      <c r="AU54" s="43"/>
      <c r="AV54" s="267" t="s">
        <v>234</v>
      </c>
      <c r="AW54" s="267"/>
      <c r="AX54" s="510" t="s">
        <v>332</v>
      </c>
      <c r="AY54" s="510"/>
      <c r="AZ54" s="537" t="s">
        <v>332</v>
      </c>
      <c r="BA54" s="538"/>
      <c r="BB54" s="510" t="s">
        <v>332</v>
      </c>
      <c r="BC54" s="510"/>
      <c r="BD54" s="510"/>
      <c r="BE54" s="510"/>
      <c r="BF54" s="510"/>
      <c r="BG54" s="510"/>
      <c r="BH54" s="510"/>
      <c r="BI54" s="510"/>
      <c r="BJ54" s="510"/>
      <c r="BK54" s="510"/>
      <c r="BL54" s="511" t="s">
        <v>332</v>
      </c>
      <c r="BM54" s="512"/>
      <c r="BN54" s="512"/>
      <c r="BO54" s="512"/>
      <c r="BP54" s="512"/>
      <c r="BQ54" s="512"/>
      <c r="BR54" s="512"/>
      <c r="BS54" s="513"/>
    </row>
    <row r="55" spans="2:78" ht="22.5" customHeight="1" x14ac:dyDescent="0.25">
      <c r="B55" s="308"/>
      <c r="C55" s="308"/>
      <c r="D55" s="6" t="s">
        <v>235</v>
      </c>
      <c r="E55" s="6" t="s">
        <v>236</v>
      </c>
      <c r="F55" s="6" t="s">
        <v>237</v>
      </c>
      <c r="G55" s="6" t="s">
        <v>238</v>
      </c>
      <c r="H55" s="426" t="s">
        <v>239</v>
      </c>
      <c r="I55" s="427"/>
      <c r="J55" s="6" t="s">
        <v>240</v>
      </c>
      <c r="K55" s="62" t="s">
        <v>241</v>
      </c>
      <c r="L55" s="6" t="s">
        <v>242</v>
      </c>
      <c r="M55" s="6" t="s">
        <v>243</v>
      </c>
      <c r="N55" s="6" t="s">
        <v>244</v>
      </c>
      <c r="O55" s="6" t="s">
        <v>245</v>
      </c>
      <c r="P55" s="426" t="s">
        <v>246</v>
      </c>
      <c r="Q55" s="427"/>
      <c r="R55" s="426" t="s">
        <v>247</v>
      </c>
      <c r="S55" s="427"/>
      <c r="T55" s="6" t="s">
        <v>248</v>
      </c>
      <c r="U55" s="6" t="s">
        <v>249</v>
      </c>
      <c r="V55" s="6" t="s">
        <v>250</v>
      </c>
      <c r="W55" s="6" t="s">
        <v>180</v>
      </c>
      <c r="X55" s="6" t="s">
        <v>198</v>
      </c>
      <c r="AA55" s="23"/>
      <c r="AB55" s="525"/>
      <c r="AC55" s="526"/>
      <c r="AD55" s="526"/>
      <c r="AE55" s="526"/>
      <c r="AF55" s="526"/>
      <c r="AG55" s="526"/>
      <c r="AH55" s="526"/>
      <c r="AI55" s="526"/>
      <c r="AJ55" s="526"/>
      <c r="AK55" s="526"/>
      <c r="AL55" s="526"/>
      <c r="AM55" s="526"/>
      <c r="AN55" s="526"/>
      <c r="AO55" s="526"/>
      <c r="AP55" s="526"/>
      <c r="AQ55" s="526"/>
      <c r="AR55" s="526"/>
      <c r="AS55" s="526"/>
      <c r="AT55" s="527"/>
      <c r="AU55" s="43"/>
      <c r="AV55" s="267"/>
      <c r="AW55" s="267"/>
      <c r="AX55" s="510"/>
      <c r="AY55" s="510"/>
      <c r="AZ55" s="539"/>
      <c r="BA55" s="540"/>
      <c r="BB55" s="510"/>
      <c r="BC55" s="510"/>
      <c r="BD55" s="510"/>
      <c r="BE55" s="510"/>
      <c r="BF55" s="510"/>
      <c r="BG55" s="510"/>
      <c r="BH55" s="510"/>
      <c r="BI55" s="510"/>
      <c r="BJ55" s="510"/>
      <c r="BK55" s="510"/>
      <c r="BL55" s="514"/>
      <c r="BM55" s="515"/>
      <c r="BN55" s="515"/>
      <c r="BO55" s="515"/>
      <c r="BP55" s="515"/>
      <c r="BQ55" s="515"/>
      <c r="BR55" s="515"/>
      <c r="BS55" s="516"/>
    </row>
    <row r="56" spans="2:78" ht="22.5" customHeight="1" x14ac:dyDescent="0.25">
      <c r="B56" s="9" t="s">
        <v>252</v>
      </c>
      <c r="C56" s="523" t="s">
        <v>334</v>
      </c>
      <c r="D56" s="428" t="s">
        <v>315</v>
      </c>
      <c r="E56" s="429"/>
      <c r="F56" s="429"/>
      <c r="G56" s="429"/>
      <c r="H56" s="429"/>
      <c r="I56" s="429"/>
      <c r="J56" s="429"/>
      <c r="K56" s="429"/>
      <c r="L56" s="429"/>
      <c r="M56" s="429"/>
      <c r="N56" s="429"/>
      <c r="O56" s="429"/>
      <c r="P56" s="429"/>
      <c r="Q56" s="429"/>
      <c r="R56" s="429"/>
      <c r="S56" s="429"/>
      <c r="T56" s="429"/>
      <c r="U56" s="429"/>
      <c r="V56" s="429"/>
      <c r="W56" s="429"/>
      <c r="X56" s="429"/>
      <c r="AA56" s="26"/>
      <c r="AB56" s="520"/>
      <c r="AC56" s="521"/>
      <c r="AD56" s="521"/>
      <c r="AE56" s="521"/>
      <c r="AF56" s="521"/>
      <c r="AG56" s="521"/>
      <c r="AH56" s="521"/>
      <c r="AI56" s="521"/>
      <c r="AJ56" s="521"/>
      <c r="AK56" s="521"/>
      <c r="AL56" s="521"/>
      <c r="AM56" s="521"/>
      <c r="AN56" s="521"/>
      <c r="AO56" s="521"/>
      <c r="AP56" s="521"/>
      <c r="AQ56" s="521"/>
      <c r="AR56" s="521"/>
      <c r="AS56" s="521"/>
      <c r="AT56" s="522"/>
      <c r="AU56" s="43"/>
      <c r="AV56" s="267"/>
      <c r="AW56" s="267"/>
      <c r="AX56" s="510"/>
      <c r="AY56" s="510"/>
      <c r="AZ56" s="541"/>
      <c r="BA56" s="542"/>
      <c r="BB56" s="510"/>
      <c r="BC56" s="510"/>
      <c r="BD56" s="510"/>
      <c r="BE56" s="510"/>
      <c r="BF56" s="510"/>
      <c r="BG56" s="510"/>
      <c r="BH56" s="510"/>
      <c r="BI56" s="510"/>
      <c r="BJ56" s="510"/>
      <c r="BK56" s="510"/>
      <c r="BL56" s="517"/>
      <c r="BM56" s="518"/>
      <c r="BN56" s="518"/>
      <c r="BO56" s="518"/>
      <c r="BP56" s="518"/>
      <c r="BQ56" s="518"/>
      <c r="BR56" s="518"/>
      <c r="BS56" s="519"/>
    </row>
    <row r="57" spans="2:78" ht="22.5" customHeight="1" x14ac:dyDescent="0.25">
      <c r="B57" s="9" t="s">
        <v>253</v>
      </c>
      <c r="C57" s="524"/>
      <c r="D57" s="430"/>
      <c r="E57" s="431"/>
      <c r="F57" s="431"/>
      <c r="G57" s="431"/>
      <c r="H57" s="431"/>
      <c r="I57" s="431"/>
      <c r="J57" s="431"/>
      <c r="K57" s="431"/>
      <c r="L57" s="431"/>
      <c r="M57" s="431"/>
      <c r="N57" s="431"/>
      <c r="O57" s="431"/>
      <c r="P57" s="431"/>
      <c r="Q57" s="431"/>
      <c r="R57" s="431"/>
      <c r="S57" s="431"/>
      <c r="T57" s="431"/>
      <c r="U57" s="431"/>
      <c r="V57" s="431"/>
      <c r="W57" s="431"/>
      <c r="X57" s="431"/>
      <c r="AA57" s="24"/>
      <c r="AB57" s="13" t="s">
        <v>254</v>
      </c>
      <c r="AC57" s="14"/>
      <c r="AD57" s="14"/>
      <c r="AE57" s="14"/>
      <c r="AF57" s="14"/>
      <c r="AG57" s="14"/>
      <c r="AH57" s="14"/>
      <c r="AI57" s="14"/>
      <c r="AJ57" s="14"/>
      <c r="AK57" s="14"/>
      <c r="AL57" s="14"/>
      <c r="AM57" s="14"/>
      <c r="AN57" s="14"/>
      <c r="AO57" s="14"/>
      <c r="AP57" s="14"/>
      <c r="AQ57" s="14"/>
      <c r="AR57" s="14"/>
      <c r="AS57" s="14"/>
      <c r="AT57" s="15"/>
      <c r="AU57" s="45"/>
      <c r="AV57" s="267" t="s">
        <v>255</v>
      </c>
      <c r="AW57" s="267"/>
      <c r="AX57" s="510" t="s">
        <v>332</v>
      </c>
      <c r="AY57" s="510"/>
      <c r="AZ57" s="510" t="s">
        <v>332</v>
      </c>
      <c r="BA57" s="510"/>
      <c r="BB57" s="510" t="s">
        <v>332</v>
      </c>
      <c r="BC57" s="510"/>
      <c r="BD57" s="510"/>
      <c r="BE57" s="510"/>
      <c r="BF57" s="510"/>
      <c r="BG57" s="510"/>
      <c r="BH57" s="510"/>
      <c r="BI57" s="510"/>
      <c r="BJ57" s="510"/>
      <c r="BK57" s="510"/>
      <c r="BL57" s="511" t="s">
        <v>332</v>
      </c>
      <c r="BM57" s="512"/>
      <c r="BN57" s="512"/>
      <c r="BO57" s="512"/>
      <c r="BP57" s="512"/>
      <c r="BQ57" s="512"/>
      <c r="BR57" s="512"/>
      <c r="BS57" s="513"/>
    </row>
    <row r="58" spans="2:78" ht="22.5" customHeight="1" x14ac:dyDescent="0.25">
      <c r="AB58" s="350" t="s">
        <v>332</v>
      </c>
      <c r="AC58" s="351"/>
      <c r="AD58" s="351"/>
      <c r="AE58" s="351"/>
      <c r="AF58" s="351"/>
      <c r="AG58" s="351"/>
      <c r="AH58" s="351"/>
      <c r="AI58" s="351"/>
      <c r="AJ58" s="351"/>
      <c r="AK58" s="351"/>
      <c r="AL58" s="351"/>
      <c r="AM58" s="351"/>
      <c r="AN58" s="351"/>
      <c r="AO58" s="351"/>
      <c r="AP58" s="351"/>
      <c r="AQ58" s="351"/>
      <c r="AR58" s="351"/>
      <c r="AS58" s="351"/>
      <c r="AT58" s="352"/>
      <c r="AU58" s="44"/>
      <c r="AV58" s="267"/>
      <c r="AW58" s="267"/>
      <c r="AX58" s="510"/>
      <c r="AY58" s="510"/>
      <c r="AZ58" s="510"/>
      <c r="BA58" s="510"/>
      <c r="BB58" s="510"/>
      <c r="BC58" s="510"/>
      <c r="BD58" s="510"/>
      <c r="BE58" s="510"/>
      <c r="BF58" s="510"/>
      <c r="BG58" s="510"/>
      <c r="BH58" s="510"/>
      <c r="BI58" s="510"/>
      <c r="BJ58" s="510"/>
      <c r="BK58" s="510"/>
      <c r="BL58" s="514"/>
      <c r="BM58" s="515"/>
      <c r="BN58" s="515"/>
      <c r="BO58" s="515"/>
      <c r="BP58" s="515"/>
      <c r="BQ58" s="515"/>
      <c r="BR58" s="515"/>
      <c r="BS58" s="516"/>
    </row>
    <row r="59" spans="2:78" ht="22.5" customHeight="1" x14ac:dyDescent="0.25">
      <c r="AB59" s="345"/>
      <c r="AC59" s="346"/>
      <c r="AD59" s="346"/>
      <c r="AE59" s="346"/>
      <c r="AF59" s="346"/>
      <c r="AG59" s="346"/>
      <c r="AH59" s="346"/>
      <c r="AI59" s="346"/>
      <c r="AJ59" s="346"/>
      <c r="AK59" s="346"/>
      <c r="AL59" s="346"/>
      <c r="AM59" s="346"/>
      <c r="AN59" s="346"/>
      <c r="AO59" s="346"/>
      <c r="AP59" s="346"/>
      <c r="AQ59" s="346"/>
      <c r="AR59" s="346"/>
      <c r="AS59" s="346"/>
      <c r="AT59" s="347"/>
      <c r="AU59" s="44"/>
      <c r="AV59" s="267"/>
      <c r="AW59" s="267"/>
      <c r="AX59" s="510"/>
      <c r="AY59" s="510"/>
      <c r="AZ59" s="510"/>
      <c r="BA59" s="510"/>
      <c r="BB59" s="510"/>
      <c r="BC59" s="510"/>
      <c r="BD59" s="510"/>
      <c r="BE59" s="510"/>
      <c r="BF59" s="510"/>
      <c r="BG59" s="510"/>
      <c r="BH59" s="510"/>
      <c r="BI59" s="510"/>
      <c r="BJ59" s="510"/>
      <c r="BK59" s="510"/>
      <c r="BL59" s="517"/>
      <c r="BM59" s="518"/>
      <c r="BN59" s="518"/>
      <c r="BO59" s="518"/>
      <c r="BP59" s="518"/>
      <c r="BQ59" s="518"/>
      <c r="BR59" s="518"/>
      <c r="BS59" s="519"/>
    </row>
    <row r="60" spans="2:78" ht="22.5" customHeight="1" x14ac:dyDescent="0.25">
      <c r="AB60" s="345"/>
      <c r="AC60" s="346"/>
      <c r="AD60" s="346"/>
      <c r="AE60" s="346"/>
      <c r="AF60" s="346"/>
      <c r="AG60" s="346"/>
      <c r="AH60" s="346"/>
      <c r="AI60" s="346"/>
      <c r="AJ60" s="346"/>
      <c r="AK60" s="346"/>
      <c r="AL60" s="346"/>
      <c r="AM60" s="346"/>
      <c r="AN60" s="346"/>
      <c r="AO60" s="346"/>
      <c r="AP60" s="346"/>
      <c r="AQ60" s="346"/>
      <c r="AR60" s="346"/>
      <c r="AS60" s="346"/>
      <c r="AT60" s="347"/>
      <c r="AU60" s="44"/>
      <c r="AV60" s="44"/>
      <c r="AW60" s="44"/>
      <c r="AX60" s="44"/>
    </row>
    <row r="61" spans="2:78" ht="22.5" customHeight="1" x14ac:dyDescent="0.25">
      <c r="AB61" s="338"/>
      <c r="AC61" s="339"/>
      <c r="AD61" s="339"/>
      <c r="AE61" s="339"/>
      <c r="AF61" s="339"/>
      <c r="AG61" s="339"/>
      <c r="AH61" s="339"/>
      <c r="AI61" s="339"/>
      <c r="AJ61" s="339"/>
      <c r="AK61" s="339"/>
      <c r="AL61" s="339"/>
      <c r="AM61" s="339"/>
      <c r="AN61" s="339"/>
      <c r="AO61" s="339"/>
      <c r="AP61" s="339"/>
      <c r="AQ61" s="339"/>
      <c r="AR61" s="339"/>
      <c r="AS61" s="339"/>
      <c r="AT61" s="340"/>
      <c r="AU61" s="44"/>
      <c r="AV61" s="44"/>
    </row>
    <row r="62" spans="2:78" ht="22.5" customHeight="1" x14ac:dyDescent="0.25">
      <c r="B62" s="6" t="s">
        <v>235</v>
      </c>
      <c r="C62" s="29" t="s">
        <v>335</v>
      </c>
      <c r="D62" t="s">
        <v>336</v>
      </c>
      <c r="E62"/>
      <c r="F62"/>
      <c r="G62"/>
      <c r="H62"/>
      <c r="I62"/>
      <c r="J62"/>
      <c r="K62"/>
      <c r="L62"/>
      <c r="M62"/>
      <c r="N62"/>
      <c r="O62"/>
      <c r="P62"/>
      <c r="Q62"/>
      <c r="R62"/>
      <c r="S62"/>
    </row>
    <row r="63" spans="2:78" x14ac:dyDescent="0.25">
      <c r="B63" s="6" t="s">
        <v>236</v>
      </c>
      <c r="C63" s="29" t="s">
        <v>335</v>
      </c>
      <c r="D63" t="s">
        <v>337</v>
      </c>
      <c r="E63"/>
      <c r="F63"/>
      <c r="G63"/>
      <c r="H63"/>
      <c r="I63" t="s">
        <v>338</v>
      </c>
      <c r="J63"/>
      <c r="K63"/>
      <c r="L63"/>
      <c r="M63"/>
      <c r="N63"/>
      <c r="O63"/>
      <c r="P63"/>
      <c r="Q63"/>
      <c r="R63"/>
      <c r="S63"/>
      <c r="AB63" s="16"/>
      <c r="AG63" s="16"/>
    </row>
    <row r="64" spans="2:78" x14ac:dyDescent="0.25">
      <c r="B64" s="6" t="s">
        <v>237</v>
      </c>
      <c r="C64" s="29" t="s">
        <v>335</v>
      </c>
      <c r="D64" s="30" t="s">
        <v>339</v>
      </c>
      <c r="E64"/>
      <c r="F64"/>
      <c r="G64"/>
      <c r="H64"/>
      <c r="I64"/>
      <c r="J64"/>
      <c r="K64"/>
      <c r="L64"/>
      <c r="M64"/>
      <c r="N64"/>
      <c r="O64"/>
      <c r="P64"/>
      <c r="Q64"/>
      <c r="R64"/>
      <c r="S64"/>
      <c r="AB64" s="16"/>
      <c r="AG64" s="16"/>
    </row>
    <row r="65" spans="2:31" x14ac:dyDescent="0.25">
      <c r="B65" s="6" t="s">
        <v>238</v>
      </c>
      <c r="C65" s="29" t="s">
        <v>335</v>
      </c>
      <c r="D65" s="30" t="s">
        <v>340</v>
      </c>
      <c r="E65"/>
      <c r="F65"/>
      <c r="G65"/>
      <c r="H65"/>
      <c r="I65"/>
      <c r="J65"/>
      <c r="K65"/>
      <c r="L65"/>
      <c r="M65"/>
      <c r="N65"/>
      <c r="O65"/>
      <c r="P65"/>
      <c r="Q65"/>
      <c r="R65"/>
      <c r="S65"/>
    </row>
    <row r="66" spans="2:31" x14ac:dyDescent="0.25">
      <c r="B66" s="6" t="s">
        <v>239</v>
      </c>
      <c r="C66" s="29" t="s">
        <v>335</v>
      </c>
      <c r="D66" s="30" t="s">
        <v>341</v>
      </c>
      <c r="E66"/>
      <c r="F66"/>
      <c r="G66"/>
      <c r="H66"/>
      <c r="I66"/>
      <c r="J66"/>
      <c r="K66"/>
      <c r="L66"/>
      <c r="M66"/>
      <c r="N66"/>
      <c r="O66"/>
      <c r="P66"/>
      <c r="Q66"/>
      <c r="R66"/>
      <c r="S66"/>
    </row>
    <row r="67" spans="2:31" x14ac:dyDescent="0.25">
      <c r="B67" s="6" t="s">
        <v>240</v>
      </c>
      <c r="C67" s="29" t="s">
        <v>335</v>
      </c>
      <c r="D67" s="30" t="s">
        <v>342</v>
      </c>
      <c r="E67"/>
      <c r="F67"/>
      <c r="G67"/>
      <c r="H67"/>
      <c r="I67"/>
      <c r="J67"/>
      <c r="K67"/>
      <c r="L67"/>
      <c r="M67"/>
      <c r="N67"/>
      <c r="O67"/>
      <c r="P67"/>
      <c r="Q67"/>
      <c r="R67"/>
      <c r="S67"/>
    </row>
    <row r="68" spans="2:31" x14ac:dyDescent="0.25">
      <c r="B68" s="6" t="s">
        <v>241</v>
      </c>
      <c r="C68" s="29" t="s">
        <v>335</v>
      </c>
      <c r="D68" s="30" t="s">
        <v>343</v>
      </c>
      <c r="E68"/>
      <c r="F68"/>
      <c r="G68"/>
      <c r="H68"/>
      <c r="I68"/>
      <c r="J68"/>
      <c r="K68"/>
      <c r="L68"/>
      <c r="M68"/>
      <c r="N68"/>
      <c r="O68"/>
      <c r="P68"/>
      <c r="Q68"/>
      <c r="R68"/>
      <c r="S68"/>
    </row>
    <row r="69" spans="2:31" x14ac:dyDescent="0.25">
      <c r="B69" s="6" t="s">
        <v>242</v>
      </c>
      <c r="C69" s="29" t="s">
        <v>335</v>
      </c>
      <c r="D69" s="30" t="s">
        <v>344</v>
      </c>
      <c r="E69"/>
      <c r="F69"/>
      <c r="G69"/>
      <c r="H69"/>
      <c r="I69"/>
      <c r="J69"/>
      <c r="K69"/>
      <c r="L69"/>
      <c r="M69"/>
      <c r="N69"/>
      <c r="O69"/>
      <c r="P69"/>
      <c r="Q69"/>
      <c r="R69"/>
      <c r="S69"/>
    </row>
    <row r="70" spans="2:31" x14ac:dyDescent="0.25">
      <c r="B70" s="6" t="s">
        <v>243</v>
      </c>
      <c r="C70" s="29" t="s">
        <v>335</v>
      </c>
      <c r="D70" s="30" t="s">
        <v>345</v>
      </c>
      <c r="E70"/>
      <c r="F70"/>
      <c r="G70"/>
      <c r="H70"/>
      <c r="I70"/>
      <c r="J70"/>
      <c r="K70"/>
      <c r="L70"/>
      <c r="M70"/>
      <c r="N70"/>
      <c r="O70"/>
      <c r="P70"/>
      <c r="Q70"/>
      <c r="R70"/>
      <c r="S70"/>
    </row>
    <row r="71" spans="2:31" x14ac:dyDescent="0.25">
      <c r="B71" s="6" t="s">
        <v>244</v>
      </c>
      <c r="C71" s="29" t="s">
        <v>335</v>
      </c>
      <c r="D71" s="30" t="s">
        <v>346</v>
      </c>
      <c r="E71"/>
      <c r="F71"/>
      <c r="G71"/>
      <c r="H71"/>
      <c r="I71"/>
      <c r="J71"/>
      <c r="K71"/>
      <c r="L71"/>
      <c r="M71"/>
      <c r="N71"/>
      <c r="O71"/>
      <c r="P71"/>
      <c r="Q71"/>
      <c r="R71"/>
      <c r="S71"/>
    </row>
    <row r="72" spans="2:31" ht="13.8" x14ac:dyDescent="0.25">
      <c r="B72" s="6" t="s">
        <v>245</v>
      </c>
      <c r="C72" s="29" t="s">
        <v>335</v>
      </c>
      <c r="D72" s="30" t="s">
        <v>347</v>
      </c>
      <c r="E72"/>
      <c r="F72"/>
      <c r="G72"/>
      <c r="H72"/>
      <c r="I72"/>
      <c r="J72"/>
      <c r="K72"/>
      <c r="L72"/>
      <c r="M72"/>
      <c r="N72"/>
      <c r="O72"/>
      <c r="P72"/>
      <c r="Q72"/>
      <c r="R72"/>
      <c r="S72"/>
      <c r="AC72" s="337"/>
      <c r="AD72" s="337"/>
      <c r="AE72" s="337"/>
    </row>
    <row r="73" spans="2:31" ht="13.8" x14ac:dyDescent="0.25">
      <c r="B73" s="6" t="s">
        <v>246</v>
      </c>
      <c r="C73" s="29" t="s">
        <v>335</v>
      </c>
      <c r="D73" s="30" t="s">
        <v>348</v>
      </c>
      <c r="E73"/>
      <c r="F73"/>
      <c r="G73"/>
      <c r="H73"/>
      <c r="I73"/>
      <c r="J73"/>
      <c r="K73"/>
      <c r="L73"/>
      <c r="M73"/>
      <c r="N73"/>
      <c r="O73"/>
      <c r="P73"/>
      <c r="Q73"/>
      <c r="R73"/>
      <c r="S73"/>
      <c r="AC73" s="335"/>
      <c r="AD73" s="335"/>
      <c r="AE73" s="335"/>
    </row>
    <row r="74" spans="2:31" ht="13.8" x14ac:dyDescent="0.25">
      <c r="B74" s="6" t="s">
        <v>247</v>
      </c>
      <c r="C74" s="29" t="s">
        <v>335</v>
      </c>
      <c r="D74" s="30" t="s">
        <v>349</v>
      </c>
      <c r="E74"/>
      <c r="F74"/>
      <c r="G74"/>
      <c r="H74"/>
      <c r="I74"/>
      <c r="J74"/>
      <c r="K74"/>
      <c r="L74"/>
      <c r="M74"/>
      <c r="N74"/>
      <c r="O74"/>
      <c r="P74"/>
      <c r="Q74"/>
      <c r="R74"/>
      <c r="S74"/>
      <c r="AC74" s="335"/>
      <c r="AD74" s="335"/>
      <c r="AE74" s="335"/>
    </row>
    <row r="75" spans="2:31" ht="13.8" x14ac:dyDescent="0.25">
      <c r="B75" s="6" t="s">
        <v>248</v>
      </c>
      <c r="C75" s="29" t="s">
        <v>335</v>
      </c>
      <c r="D75" s="30" t="s">
        <v>350</v>
      </c>
      <c r="E75"/>
      <c r="F75"/>
      <c r="G75"/>
      <c r="H75"/>
      <c r="I75"/>
      <c r="J75"/>
      <c r="K75"/>
      <c r="L75"/>
      <c r="M75"/>
      <c r="N75"/>
      <c r="O75"/>
      <c r="P75"/>
      <c r="Q75"/>
      <c r="R75"/>
      <c r="S75"/>
      <c r="AC75" s="335"/>
      <c r="AD75" s="335"/>
      <c r="AE75" s="335"/>
    </row>
    <row r="76" spans="2:31" ht="13.8" x14ac:dyDescent="0.25">
      <c r="B76" s="6" t="s">
        <v>249</v>
      </c>
      <c r="C76" s="29" t="s">
        <v>335</v>
      </c>
      <c r="D76" s="30" t="s">
        <v>351</v>
      </c>
      <c r="E76"/>
      <c r="F76"/>
      <c r="G76"/>
      <c r="H76"/>
      <c r="I76"/>
      <c r="J76"/>
      <c r="K76"/>
      <c r="L76"/>
      <c r="M76"/>
      <c r="N76"/>
      <c r="O76"/>
      <c r="P76"/>
      <c r="Q76"/>
      <c r="R76"/>
      <c r="S76"/>
      <c r="AC76" s="335"/>
      <c r="AD76" s="335"/>
      <c r="AE76" s="335"/>
    </row>
    <row r="77" spans="2:31" x14ac:dyDescent="0.25">
      <c r="B77" s="6" t="s">
        <v>250</v>
      </c>
      <c r="C77" s="29" t="s">
        <v>335</v>
      </c>
      <c r="D77" s="30" t="s">
        <v>352</v>
      </c>
      <c r="E77"/>
      <c r="F77"/>
      <c r="G77"/>
      <c r="H77"/>
      <c r="I77"/>
      <c r="J77"/>
      <c r="K77"/>
      <c r="L77"/>
      <c r="M77"/>
      <c r="N77"/>
      <c r="O77"/>
      <c r="P77"/>
      <c r="Q77"/>
      <c r="R77"/>
      <c r="S77"/>
    </row>
    <row r="78" spans="2:31" x14ac:dyDescent="0.25">
      <c r="B78" s="6" t="s">
        <v>180</v>
      </c>
      <c r="C78" s="29" t="s">
        <v>335</v>
      </c>
      <c r="D78" s="30" t="s">
        <v>353</v>
      </c>
      <c r="E78"/>
      <c r="F78"/>
      <c r="G78"/>
      <c r="H78"/>
      <c r="I78"/>
      <c r="J78"/>
      <c r="K78"/>
      <c r="L78"/>
      <c r="M78"/>
      <c r="N78"/>
      <c r="O78"/>
      <c r="P78"/>
      <c r="Q78"/>
      <c r="R78"/>
      <c r="S78"/>
    </row>
    <row r="79" spans="2:31" x14ac:dyDescent="0.25">
      <c r="B79" s="6" t="s">
        <v>198</v>
      </c>
      <c r="C79" s="29" t="s">
        <v>335</v>
      </c>
      <c r="D79" t="s">
        <v>354</v>
      </c>
      <c r="E79"/>
      <c r="F79"/>
      <c r="G79"/>
      <c r="H79"/>
      <c r="I79"/>
      <c r="J79"/>
      <c r="K79"/>
      <c r="L79"/>
      <c r="M79"/>
      <c r="N79"/>
      <c r="O79"/>
      <c r="P79"/>
      <c r="Q79"/>
      <c r="R79"/>
      <c r="S79"/>
    </row>
  </sheetData>
  <mergeCells count="347">
    <mergeCell ref="B2:BS2"/>
    <mergeCell ref="B4:G5"/>
    <mergeCell ref="I4:P4"/>
    <mergeCell ref="R4:AH4"/>
    <mergeCell ref="AK4:BS4"/>
    <mergeCell ref="I5:L5"/>
    <mergeCell ref="M5:P5"/>
    <mergeCell ref="R5:X5"/>
    <mergeCell ref="Y5:Z5"/>
    <mergeCell ref="AA5:AC5"/>
    <mergeCell ref="AE5:AG5"/>
    <mergeCell ref="B6:D6"/>
    <mergeCell ref="E6:G6"/>
    <mergeCell ref="I6:L6"/>
    <mergeCell ref="M6:P6"/>
    <mergeCell ref="R6:X6"/>
    <mergeCell ref="Y6:Z6"/>
    <mergeCell ref="AA6:AC6"/>
    <mergeCell ref="AE6:AG6"/>
    <mergeCell ref="AK6:AP6"/>
    <mergeCell ref="B7:D7"/>
    <mergeCell ref="E7:G7"/>
    <mergeCell ref="I7:L7"/>
    <mergeCell ref="M7:P7"/>
    <mergeCell ref="R7:X7"/>
    <mergeCell ref="BR7:BS7"/>
    <mergeCell ref="AZ7:BC7"/>
    <mergeCell ref="BD7:BE7"/>
    <mergeCell ref="BG7:BJ7"/>
    <mergeCell ref="BK7:BL7"/>
    <mergeCell ref="BN7:BQ7"/>
    <mergeCell ref="AW7:AX7"/>
    <mergeCell ref="Y7:Z7"/>
    <mergeCell ref="AA7:AC7"/>
    <mergeCell ref="AE7:AG7"/>
    <mergeCell ref="AK7:AN7"/>
    <mergeCell ref="AO7:AP7"/>
    <mergeCell ref="AR7:AV7"/>
    <mergeCell ref="AR6:AX6"/>
    <mergeCell ref="AZ6:BE6"/>
    <mergeCell ref="BN8:BQ8"/>
    <mergeCell ref="BR8:BS8"/>
    <mergeCell ref="AW8:AX8"/>
    <mergeCell ref="AZ8:BC8"/>
    <mergeCell ref="BD8:BE8"/>
    <mergeCell ref="BG8:BJ8"/>
    <mergeCell ref="BG6:BL6"/>
    <mergeCell ref="BN6:BS6"/>
    <mergeCell ref="BN9:BQ9"/>
    <mergeCell ref="BR9:BS9"/>
    <mergeCell ref="AW9:AX9"/>
    <mergeCell ref="AZ9:BC9"/>
    <mergeCell ref="B8:D8"/>
    <mergeCell ref="E8:G8"/>
    <mergeCell ref="B9:D9"/>
    <mergeCell ref="E9:G9"/>
    <mergeCell ref="I9:L9"/>
    <mergeCell ref="M9:P9"/>
    <mergeCell ref="R9:X9"/>
    <mergeCell ref="Y9:Z9"/>
    <mergeCell ref="AA9:AC9"/>
    <mergeCell ref="AO8:AP8"/>
    <mergeCell ref="AR8:AV8"/>
    <mergeCell ref="E10:G10"/>
    <mergeCell ref="R10:X10"/>
    <mergeCell ref="Y10:Z10"/>
    <mergeCell ref="AA10:AC10"/>
    <mergeCell ref="AE9:AG9"/>
    <mergeCell ref="AK9:AN9"/>
    <mergeCell ref="AO9:AP9"/>
    <mergeCell ref="AR9:AV9"/>
    <mergeCell ref="BK8:BL8"/>
    <mergeCell ref="I8:L8"/>
    <mergeCell ref="R8:X8"/>
    <mergeCell ref="Y8:Z8"/>
    <mergeCell ref="AA8:AC8"/>
    <mergeCell ref="AE8:AG8"/>
    <mergeCell ref="AK8:AN8"/>
    <mergeCell ref="BD9:BE9"/>
    <mergeCell ref="BG9:BJ9"/>
    <mergeCell ref="BK9:BL9"/>
    <mergeCell ref="B14:D14"/>
    <mergeCell ref="E14:F14"/>
    <mergeCell ref="AZ11:BC11"/>
    <mergeCell ref="BD11:BE11"/>
    <mergeCell ref="BG11:BJ11"/>
    <mergeCell ref="BK11:BL11"/>
    <mergeCell ref="BN11:BQ11"/>
    <mergeCell ref="BR11:BS11"/>
    <mergeCell ref="BD10:BE10"/>
    <mergeCell ref="BG10:BJ10"/>
    <mergeCell ref="BK10:BL10"/>
    <mergeCell ref="BN10:BQ10"/>
    <mergeCell ref="BR10:BS10"/>
    <mergeCell ref="AZ10:BC10"/>
    <mergeCell ref="B11:D11"/>
    <mergeCell ref="E11:G11"/>
    <mergeCell ref="AR11:AV11"/>
    <mergeCell ref="AW11:AX11"/>
    <mergeCell ref="AE10:AG10"/>
    <mergeCell ref="AK10:AN10"/>
    <mergeCell ref="AO10:AP10"/>
    <mergeCell ref="AR10:AV10"/>
    <mergeCell ref="AW10:AX10"/>
    <mergeCell ref="B10:D10"/>
    <mergeCell ref="AC20:AD20"/>
    <mergeCell ref="AE20:AF20"/>
    <mergeCell ref="AR12:AV12"/>
    <mergeCell ref="AW12:AX12"/>
    <mergeCell ref="AZ12:BC12"/>
    <mergeCell ref="BD12:BE12"/>
    <mergeCell ref="BG12:BJ12"/>
    <mergeCell ref="X19:AG19"/>
    <mergeCell ref="AK12:AP12"/>
    <mergeCell ref="BG13:BJ13"/>
    <mergeCell ref="AK13:AN13"/>
    <mergeCell ref="AO13:AP13"/>
    <mergeCell ref="AR13:AV13"/>
    <mergeCell ref="AW13:AX13"/>
    <mergeCell ref="AZ13:BC13"/>
    <mergeCell ref="BG14:BJ14"/>
    <mergeCell ref="BN12:BQ12"/>
    <mergeCell ref="BR12:BS12"/>
    <mergeCell ref="B13:D13"/>
    <mergeCell ref="E13:F13"/>
    <mergeCell ref="BK12:BL12"/>
    <mergeCell ref="B12:D12"/>
    <mergeCell ref="E12:G12"/>
    <mergeCell ref="BK13:BL13"/>
    <mergeCell ref="BN13:BQ13"/>
    <mergeCell ref="BR13:BS13"/>
    <mergeCell ref="BD13:BE13"/>
    <mergeCell ref="BK14:BL14"/>
    <mergeCell ref="BN14:BQ14"/>
    <mergeCell ref="BR14:BS14"/>
    <mergeCell ref="B15:D15"/>
    <mergeCell ref="E15:F15"/>
    <mergeCell ref="X22:Y22"/>
    <mergeCell ref="Z22:AA22"/>
    <mergeCell ref="AC22:AD22"/>
    <mergeCell ref="AK14:AN14"/>
    <mergeCell ref="AO14:AP14"/>
    <mergeCell ref="AR14:AV14"/>
    <mergeCell ref="AW14:AX14"/>
    <mergeCell ref="AZ14:BC14"/>
    <mergeCell ref="BD14:BE14"/>
    <mergeCell ref="BR15:BS15"/>
    <mergeCell ref="BN15:BQ15"/>
    <mergeCell ref="BN16:BQ16"/>
    <mergeCell ref="BR16:BS16"/>
    <mergeCell ref="BN17:BQ17"/>
    <mergeCell ref="BR17:BS17"/>
    <mergeCell ref="BR18:BS18"/>
    <mergeCell ref="I20:M20"/>
    <mergeCell ref="BN19:BQ19"/>
    <mergeCell ref="BR19:BS19"/>
    <mergeCell ref="X23:Y23"/>
    <mergeCell ref="Z23:AA23"/>
    <mergeCell ref="AC23:AD23"/>
    <mergeCell ref="AE23:AF23"/>
    <mergeCell ref="AR16:AX16"/>
    <mergeCell ref="BG16:BJ16"/>
    <mergeCell ref="BK16:BL16"/>
    <mergeCell ref="AE22:AF22"/>
    <mergeCell ref="AZ15:BC15"/>
    <mergeCell ref="BD15:BE15"/>
    <mergeCell ref="BG15:BJ15"/>
    <mergeCell ref="BK15:BL15"/>
    <mergeCell ref="AR17:AV17"/>
    <mergeCell ref="AW17:AX17"/>
    <mergeCell ref="AZ17:BE17"/>
    <mergeCell ref="BG17:BJ17"/>
    <mergeCell ref="BK17:BL17"/>
    <mergeCell ref="AZ19:BC19"/>
    <mergeCell ref="BD19:BE19"/>
    <mergeCell ref="BG19:BJ19"/>
    <mergeCell ref="BK19:BL19"/>
    <mergeCell ref="X21:Y21"/>
    <mergeCell ref="Z21:AA21"/>
    <mergeCell ref="AC21:AD21"/>
    <mergeCell ref="I19:V19"/>
    <mergeCell ref="AZ18:BC18"/>
    <mergeCell ref="BD18:BE18"/>
    <mergeCell ref="BG18:BJ18"/>
    <mergeCell ref="BK18:BL18"/>
    <mergeCell ref="BN18:BQ18"/>
    <mergeCell ref="BR22:BS22"/>
    <mergeCell ref="BN20:BQ20"/>
    <mergeCell ref="BR20:BS20"/>
    <mergeCell ref="I22:M22"/>
    <mergeCell ref="BG21:BJ21"/>
    <mergeCell ref="BK21:BL21"/>
    <mergeCell ref="BN21:BQ21"/>
    <mergeCell ref="BR21:BS21"/>
    <mergeCell ref="N21:V21"/>
    <mergeCell ref="N22:V22"/>
    <mergeCell ref="I21:M21"/>
    <mergeCell ref="AZ20:BC20"/>
    <mergeCell ref="BD20:BE20"/>
    <mergeCell ref="BG20:BJ20"/>
    <mergeCell ref="BK20:BL20"/>
    <mergeCell ref="AE21:AF21"/>
    <mergeCell ref="X20:Y20"/>
    <mergeCell ref="Z20:AA20"/>
    <mergeCell ref="B36:C36"/>
    <mergeCell ref="B37:C37"/>
    <mergeCell ref="B38:C38"/>
    <mergeCell ref="B54:B55"/>
    <mergeCell ref="C54:C55"/>
    <mergeCell ref="D54:K54"/>
    <mergeCell ref="BG22:BJ22"/>
    <mergeCell ref="BK22:BL22"/>
    <mergeCell ref="BN22:BQ22"/>
    <mergeCell ref="BL53:BS53"/>
    <mergeCell ref="AB54:AT54"/>
    <mergeCell ref="AV54:AW56"/>
    <mergeCell ref="AX54:AY56"/>
    <mergeCell ref="AZ54:BA56"/>
    <mergeCell ref="AV52:BS52"/>
    <mergeCell ref="AB53:AT53"/>
    <mergeCell ref="AV53:AW53"/>
    <mergeCell ref="AX53:AY53"/>
    <mergeCell ref="AZ53:BA53"/>
    <mergeCell ref="BB53:BK53"/>
    <mergeCell ref="B31:C35"/>
    <mergeCell ref="D31:E31"/>
    <mergeCell ref="F31:H31"/>
    <mergeCell ref="AV31:BS31"/>
    <mergeCell ref="AV57:AW59"/>
    <mergeCell ref="AX57:AY59"/>
    <mergeCell ref="AZ57:BA59"/>
    <mergeCell ref="BB57:BK59"/>
    <mergeCell ref="BL57:BS59"/>
    <mergeCell ref="AB58:AT58"/>
    <mergeCell ref="AB59:AT59"/>
    <mergeCell ref="AB56:AT56"/>
    <mergeCell ref="C56:C57"/>
    <mergeCell ref="BB54:BK56"/>
    <mergeCell ref="BL54:BS56"/>
    <mergeCell ref="AB55:AT55"/>
    <mergeCell ref="AC74:AE74"/>
    <mergeCell ref="AC75:AE75"/>
    <mergeCell ref="AC76:AE76"/>
    <mergeCell ref="M8:P8"/>
    <mergeCell ref="I12:AF12"/>
    <mergeCell ref="I13:L16"/>
    <mergeCell ref="M13:AF16"/>
    <mergeCell ref="I17:L17"/>
    <mergeCell ref="M17:AF17"/>
    <mergeCell ref="N20:V20"/>
    <mergeCell ref="AB60:AT60"/>
    <mergeCell ref="AB61:AT61"/>
    <mergeCell ref="AC72:AE72"/>
    <mergeCell ref="AC73:AE73"/>
    <mergeCell ref="I25:V25"/>
    <mergeCell ref="J26:N26"/>
    <mergeCell ref="Q26:U26"/>
    <mergeCell ref="I31:M31"/>
    <mergeCell ref="N31:AG31"/>
    <mergeCell ref="AD33:AE33"/>
    <mergeCell ref="AH31:AL31"/>
    <mergeCell ref="AM31:AU31"/>
    <mergeCell ref="L36:L37"/>
    <mergeCell ref="M36:M37"/>
    <mergeCell ref="BL32:BO33"/>
    <mergeCell ref="BP32:BS33"/>
    <mergeCell ref="I33:J33"/>
    <mergeCell ref="K33:L33"/>
    <mergeCell ref="N33:O33"/>
    <mergeCell ref="P33:Q33"/>
    <mergeCell ref="S33:T33"/>
    <mergeCell ref="U33:W33"/>
    <mergeCell ref="Y33:Z33"/>
    <mergeCell ref="AA33:AB33"/>
    <mergeCell ref="AM32:AN33"/>
    <mergeCell ref="AO32:AP33"/>
    <mergeCell ref="AQ32:AQ33"/>
    <mergeCell ref="AR32:AU33"/>
    <mergeCell ref="AV32:BE33"/>
    <mergeCell ref="BF32:BK33"/>
    <mergeCell ref="N36:N37"/>
    <mergeCell ref="O36:O37"/>
    <mergeCell ref="P36:P37"/>
    <mergeCell ref="Q36:Q37"/>
    <mergeCell ref="AH33:AI33"/>
    <mergeCell ref="AJ33:AK33"/>
    <mergeCell ref="D36:D37"/>
    <mergeCell ref="E36:E37"/>
    <mergeCell ref="F36:F37"/>
    <mergeCell ref="G36:G37"/>
    <mergeCell ref="H36:H37"/>
    <mergeCell ref="I36:I37"/>
    <mergeCell ref="J36:J37"/>
    <mergeCell ref="K36:K37"/>
    <mergeCell ref="D32:E33"/>
    <mergeCell ref="F32:H33"/>
    <mergeCell ref="I32:M32"/>
    <mergeCell ref="N32:R32"/>
    <mergeCell ref="S32:Z32"/>
    <mergeCell ref="AA32:AG32"/>
    <mergeCell ref="AH32:AL32"/>
    <mergeCell ref="AO36:AO37"/>
    <mergeCell ref="AC36:AD37"/>
    <mergeCell ref="AE36:AE37"/>
    <mergeCell ref="AF36:AF37"/>
    <mergeCell ref="AG36:AG37"/>
    <mergeCell ref="AH36:AH37"/>
    <mergeCell ref="AI36:AI37"/>
    <mergeCell ref="R36:R37"/>
    <mergeCell ref="S36:S37"/>
    <mergeCell ref="T36:T37"/>
    <mergeCell ref="U36:Z37"/>
    <mergeCell ref="AA36:AA37"/>
    <mergeCell ref="AB36:AB37"/>
    <mergeCell ref="AQ45:BL45"/>
    <mergeCell ref="O46:AJ47"/>
    <mergeCell ref="AM46:BL47"/>
    <mergeCell ref="AM48:BL48"/>
    <mergeCell ref="AV36:BS37"/>
    <mergeCell ref="D38:BS38"/>
    <mergeCell ref="E41:L43"/>
    <mergeCell ref="N41:R41"/>
    <mergeCell ref="S41:AJ41"/>
    <mergeCell ref="AL41:AP41"/>
    <mergeCell ref="AQ41:BL41"/>
    <mergeCell ref="O42:AJ43"/>
    <mergeCell ref="AM42:BL43"/>
    <mergeCell ref="AP36:AP37"/>
    <mergeCell ref="AQ36:AQ37"/>
    <mergeCell ref="AR36:AR37"/>
    <mergeCell ref="AS36:AS37"/>
    <mergeCell ref="AT36:AT37"/>
    <mergeCell ref="AU36:AU37"/>
    <mergeCell ref="AJ36:AJ37"/>
    <mergeCell ref="AK36:AK37"/>
    <mergeCell ref="AL36:AL37"/>
    <mergeCell ref="AM36:AM37"/>
    <mergeCell ref="AN36:AN37"/>
    <mergeCell ref="B52:X53"/>
    <mergeCell ref="L54:O54"/>
    <mergeCell ref="P54:S54"/>
    <mergeCell ref="H55:I55"/>
    <mergeCell ref="P55:Q55"/>
    <mergeCell ref="R55:S55"/>
    <mergeCell ref="D56:X57"/>
    <mergeCell ref="O44:AJ45"/>
    <mergeCell ref="AL45:AP45"/>
  </mergeCells>
  <dataValidations count="2">
    <dataValidation type="list" allowBlank="1" showInputMessage="1" showErrorMessage="1" sqref="E12 W54 M35 AG35 AL35 R35" xr:uid="{00000000-0002-0000-0100-000000000000}">
      <formula1>#REF!</formula1>
    </dataValidation>
    <dataValidation type="list" allowBlank="1" showInputMessage="1" showErrorMessage="1" sqref="D43" xr:uid="{00000000-0002-0000-0100-000002000000}">
      <formula1>$CR$7:$CR$8</formula1>
    </dataValidation>
  </dataValidations>
  <printOptions horizontalCentered="1"/>
  <pageMargins left="0.25" right="0.25" top="0.75" bottom="0.75" header="0.3" footer="0.3"/>
  <pageSetup paperSize="8" scale="27" orientation="landscape" horizontalDpi="1200" verticalDpi="12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B1:AZ67"/>
  <sheetViews>
    <sheetView topLeftCell="G13" zoomScaleNormal="100" workbookViewId="0">
      <selection activeCell="P54" sqref="P54"/>
    </sheetView>
  </sheetViews>
  <sheetFormatPr defaultRowHeight="13.2" x14ac:dyDescent="0.25"/>
  <cols>
    <col min="2" max="2" width="15.44140625" customWidth="1"/>
    <col min="3" max="3" width="19.88671875" bestFit="1" customWidth="1"/>
    <col min="4" max="4" width="19.5546875" bestFit="1" customWidth="1"/>
    <col min="5" max="5" width="19.88671875" bestFit="1" customWidth="1"/>
    <col min="6" max="6" width="19.5546875" bestFit="1" customWidth="1"/>
    <col min="7" max="7" width="19.88671875" bestFit="1" customWidth="1"/>
    <col min="8" max="8" width="19.33203125" bestFit="1" customWidth="1"/>
    <col min="9" max="9" width="17.6640625" bestFit="1" customWidth="1"/>
    <col min="10" max="10" width="24" bestFit="1" customWidth="1"/>
    <col min="11" max="11" width="22.88671875" bestFit="1" customWidth="1"/>
    <col min="12" max="12" width="22.5546875" bestFit="1" customWidth="1"/>
    <col min="13" max="13" width="24.109375" bestFit="1" customWidth="1"/>
    <col min="14" max="14" width="23.88671875" bestFit="1" customWidth="1"/>
    <col min="15" max="15" width="20.5546875" bestFit="1" customWidth="1"/>
    <col min="16" max="16" width="19.44140625" bestFit="1" customWidth="1"/>
    <col min="17" max="17" width="22.6640625" bestFit="1" customWidth="1"/>
    <col min="18" max="18" width="20.33203125" bestFit="1" customWidth="1"/>
    <col min="19" max="19" width="17.44140625" bestFit="1" customWidth="1"/>
    <col min="20" max="20" width="15.6640625" bestFit="1" customWidth="1"/>
    <col min="22" max="22" width="17.6640625" bestFit="1" customWidth="1"/>
    <col min="23" max="23" width="12" customWidth="1"/>
    <col min="24" max="24" width="10.88671875" bestFit="1" customWidth="1"/>
    <col min="25" max="25" width="19.33203125" bestFit="1" customWidth="1"/>
    <col min="26" max="26" width="22" customWidth="1"/>
    <col min="27" max="27" width="18" bestFit="1" customWidth="1"/>
    <col min="28" max="28" width="19.33203125" bestFit="1" customWidth="1"/>
    <col min="29" max="29" width="31.33203125" bestFit="1" customWidth="1"/>
    <col min="30" max="31" width="11.44140625" customWidth="1"/>
    <col min="32" max="33" width="11.109375" customWidth="1"/>
    <col min="34" max="35" width="11.5546875" customWidth="1"/>
    <col min="36" max="36" width="18.88671875" customWidth="1"/>
    <col min="38" max="38" width="12.5546875" customWidth="1"/>
    <col min="39" max="39" width="9.88671875" customWidth="1"/>
    <col min="40" max="40" width="19.6640625" bestFit="1" customWidth="1"/>
    <col min="41" max="41" width="10.6640625" bestFit="1" customWidth="1"/>
    <col min="44" max="44" width="16" bestFit="1" customWidth="1"/>
    <col min="45" max="45" width="49.88671875" bestFit="1" customWidth="1"/>
    <col min="46" max="46" width="30.5546875" bestFit="1" customWidth="1"/>
    <col min="47" max="47" width="42.33203125" bestFit="1" customWidth="1"/>
    <col min="48" max="49" width="18" bestFit="1" customWidth="1"/>
    <col min="50" max="51" width="30.5546875" bestFit="1" customWidth="1"/>
  </cols>
  <sheetData>
    <row r="1" spans="2:52" x14ac:dyDescent="0.25">
      <c r="AR1" s="2"/>
      <c r="AS1" s="2"/>
      <c r="AT1" s="2"/>
      <c r="AU1" s="2"/>
      <c r="AV1" s="2"/>
      <c r="AW1" s="2"/>
      <c r="AX1" s="2"/>
      <c r="AY1" s="2"/>
      <c r="AZ1" s="2"/>
    </row>
    <row r="2" spans="2:52" x14ac:dyDescent="0.25">
      <c r="W2" s="30"/>
      <c r="X2" s="30"/>
      <c r="Y2" s="30"/>
      <c r="Z2" s="30"/>
      <c r="AA2" s="30"/>
      <c r="AB2" s="30"/>
      <c r="AC2" s="30"/>
      <c r="AD2" s="30"/>
      <c r="AE2" s="30"/>
      <c r="AF2" s="30"/>
      <c r="AG2" s="30"/>
      <c r="AH2" s="30"/>
      <c r="AI2" s="30"/>
      <c r="AJ2" s="30"/>
      <c r="AR2" s="2"/>
      <c r="AS2" s="2"/>
      <c r="AT2" s="2"/>
      <c r="AU2" s="2"/>
      <c r="AV2" s="2"/>
      <c r="AW2" s="2"/>
      <c r="AX2" s="2"/>
      <c r="AY2" s="2"/>
      <c r="AZ2" s="2"/>
    </row>
    <row r="3" spans="2:52" x14ac:dyDescent="0.25">
      <c r="B3" s="66" t="s">
        <v>355</v>
      </c>
      <c r="G3" s="67" t="s">
        <v>355</v>
      </c>
      <c r="H3" s="68" t="s">
        <v>356</v>
      </c>
      <c r="I3" s="68" t="s">
        <v>357</v>
      </c>
      <c r="J3" s="68" t="s">
        <v>358</v>
      </c>
      <c r="K3" s="68" t="s">
        <v>359</v>
      </c>
      <c r="L3" s="68" t="s">
        <v>360</v>
      </c>
      <c r="M3" s="68" t="s">
        <v>361</v>
      </c>
      <c r="N3" s="68" t="s">
        <v>362</v>
      </c>
      <c r="O3" s="68" t="s">
        <v>363</v>
      </c>
      <c r="P3" s="68" t="s">
        <v>364</v>
      </c>
      <c r="Q3" s="68" t="s">
        <v>365</v>
      </c>
      <c r="R3" s="68" t="s">
        <v>366</v>
      </c>
      <c r="S3" s="68" t="s">
        <v>367</v>
      </c>
      <c r="T3" s="68" t="s">
        <v>368</v>
      </c>
      <c r="U3" s="69" t="s">
        <v>369</v>
      </c>
      <c r="V3" s="68" t="s">
        <v>370</v>
      </c>
      <c r="W3" s="100" t="s">
        <v>371</v>
      </c>
      <c r="X3" s="100" t="s">
        <v>372</v>
      </c>
      <c r="Y3" s="100" t="s">
        <v>373</v>
      </c>
      <c r="Z3" s="100" t="s">
        <v>374</v>
      </c>
      <c r="AA3" s="100" t="s">
        <v>375</v>
      </c>
      <c r="AB3" s="100" t="s">
        <v>376</v>
      </c>
      <c r="AC3" s="100" t="s">
        <v>377</v>
      </c>
      <c r="AD3" s="100" t="s">
        <v>378</v>
      </c>
      <c r="AE3" s="100" t="s">
        <v>379</v>
      </c>
      <c r="AF3" s="100" t="s">
        <v>380</v>
      </c>
      <c r="AG3" s="100" t="s">
        <v>381</v>
      </c>
      <c r="AH3" s="100" t="s">
        <v>382</v>
      </c>
      <c r="AI3" s="100" t="s">
        <v>383</v>
      </c>
      <c r="AJ3" s="100" t="s">
        <v>384</v>
      </c>
      <c r="AL3" s="559" t="s">
        <v>385</v>
      </c>
      <c r="AM3" s="559"/>
      <c r="AN3" s="559"/>
      <c r="AO3" s="559"/>
      <c r="AR3" s="2"/>
      <c r="AS3" s="562" t="s">
        <v>164</v>
      </c>
      <c r="AT3" s="562"/>
      <c r="AU3" s="562"/>
      <c r="AV3" s="562"/>
      <c r="AW3" s="562"/>
      <c r="AX3" s="562"/>
    </row>
    <row r="4" spans="2:52" x14ac:dyDescent="0.25">
      <c r="B4" s="70" t="s">
        <v>386</v>
      </c>
      <c r="D4" s="30"/>
      <c r="G4" s="70" t="s">
        <v>386</v>
      </c>
      <c r="H4" s="71">
        <v>1323</v>
      </c>
      <c r="I4" s="71">
        <v>393583</v>
      </c>
      <c r="J4" s="71">
        <v>7649807</v>
      </c>
      <c r="K4" s="71">
        <v>306</v>
      </c>
      <c r="L4" s="72">
        <v>41036</v>
      </c>
      <c r="M4" s="71">
        <v>3845</v>
      </c>
      <c r="N4" s="71">
        <v>31</v>
      </c>
      <c r="O4" s="71">
        <v>3860</v>
      </c>
      <c r="P4" s="71">
        <v>70</v>
      </c>
      <c r="Q4" s="71">
        <f t="shared" ref="Q4:R19" si="0">O4+M4</f>
        <v>7705</v>
      </c>
      <c r="R4" s="71">
        <f t="shared" si="0"/>
        <v>101</v>
      </c>
      <c r="S4" s="71"/>
      <c r="T4" s="71"/>
      <c r="U4" s="73" t="s">
        <v>387</v>
      </c>
      <c r="V4" s="129" t="s">
        <v>386</v>
      </c>
      <c r="W4" s="101" t="s">
        <v>388</v>
      </c>
      <c r="X4" s="101" t="s">
        <v>389</v>
      </c>
      <c r="Y4" s="152" t="s">
        <v>390</v>
      </c>
      <c r="Z4" s="152" t="s">
        <v>391</v>
      </c>
      <c r="AA4" s="152" t="s">
        <v>392</v>
      </c>
      <c r="AB4" s="101" t="s">
        <v>393</v>
      </c>
      <c r="AC4" s="101">
        <v>279379</v>
      </c>
      <c r="AD4" s="101" t="s">
        <v>394</v>
      </c>
      <c r="AE4" s="101">
        <v>279379</v>
      </c>
      <c r="AF4" s="101" t="s">
        <v>395</v>
      </c>
      <c r="AG4" s="101">
        <v>279379</v>
      </c>
      <c r="AH4" s="101" t="s">
        <v>396</v>
      </c>
      <c r="AI4" s="101" t="s">
        <v>397</v>
      </c>
      <c r="AJ4" s="101" t="s">
        <v>398</v>
      </c>
      <c r="AL4" s="560" t="s">
        <v>174</v>
      </c>
      <c r="AM4" s="560"/>
      <c r="AN4" s="560" t="s">
        <v>399</v>
      </c>
      <c r="AO4" s="560"/>
      <c r="AR4" s="2"/>
      <c r="AS4" s="110" t="s">
        <v>174</v>
      </c>
      <c r="AT4" s="108" t="s">
        <v>175</v>
      </c>
      <c r="AU4" s="561" t="s">
        <v>176</v>
      </c>
      <c r="AV4" s="561"/>
      <c r="AW4" s="561"/>
      <c r="AX4" s="109" t="s">
        <v>177</v>
      </c>
    </row>
    <row r="5" spans="2:52" s="131" customFormat="1" ht="12.75" customHeight="1" x14ac:dyDescent="0.25">
      <c r="B5" s="130" t="s">
        <v>400</v>
      </c>
      <c r="G5" s="130" t="s">
        <v>400</v>
      </c>
      <c r="H5" s="132">
        <v>1361</v>
      </c>
      <c r="I5" s="132">
        <v>390723</v>
      </c>
      <c r="J5" s="132">
        <v>7647734</v>
      </c>
      <c r="K5" s="132">
        <v>313</v>
      </c>
      <c r="L5" s="133">
        <v>40573</v>
      </c>
      <c r="M5" s="132">
        <v>7835</v>
      </c>
      <c r="N5" s="132">
        <v>64</v>
      </c>
      <c r="O5" s="132">
        <v>7715</v>
      </c>
      <c r="P5" s="132">
        <v>141</v>
      </c>
      <c r="Q5" s="132">
        <f t="shared" si="0"/>
        <v>15550</v>
      </c>
      <c r="R5" s="132">
        <f t="shared" si="0"/>
        <v>205</v>
      </c>
      <c r="S5" s="132"/>
      <c r="T5" s="132"/>
      <c r="U5" s="134" t="s">
        <v>387</v>
      </c>
      <c r="V5" s="132" t="s">
        <v>400</v>
      </c>
      <c r="W5" s="99" t="s">
        <v>401</v>
      </c>
      <c r="X5" s="99" t="s">
        <v>402</v>
      </c>
      <c r="Y5" s="153" t="s">
        <v>403</v>
      </c>
      <c r="Z5" s="153" t="s">
        <v>404</v>
      </c>
      <c r="AA5" s="153" t="s">
        <v>405</v>
      </c>
      <c r="AB5" s="99" t="s">
        <v>406</v>
      </c>
      <c r="AC5" s="99">
        <v>279376</v>
      </c>
      <c r="AD5" s="99" t="s">
        <v>407</v>
      </c>
      <c r="AE5" s="99">
        <v>279376</v>
      </c>
      <c r="AF5" s="99" t="s">
        <v>408</v>
      </c>
      <c r="AG5" s="99">
        <v>279376</v>
      </c>
      <c r="AH5" s="99" t="s">
        <v>409</v>
      </c>
      <c r="AI5" s="99" t="s">
        <v>410</v>
      </c>
      <c r="AJ5" s="99" t="s">
        <v>411</v>
      </c>
      <c r="AL5" s="99" t="s">
        <v>412</v>
      </c>
      <c r="AM5" s="99" t="s">
        <v>413</v>
      </c>
      <c r="AN5" s="99" t="s">
        <v>413</v>
      </c>
      <c r="AO5" s="99" t="s">
        <v>414</v>
      </c>
      <c r="AR5" s="135"/>
      <c r="AS5" s="136" t="s">
        <v>203</v>
      </c>
      <c r="AT5" s="136" t="s">
        <v>203</v>
      </c>
      <c r="AU5" s="136" t="s">
        <v>203</v>
      </c>
      <c r="AV5" s="137" t="s">
        <v>188</v>
      </c>
      <c r="AW5" s="137" t="s">
        <v>189</v>
      </c>
      <c r="AX5" s="138" t="s">
        <v>177</v>
      </c>
    </row>
    <row r="6" spans="2:52" x14ac:dyDescent="0.25">
      <c r="B6" s="74" t="s">
        <v>415</v>
      </c>
      <c r="G6" s="74" t="s">
        <v>415</v>
      </c>
      <c r="H6" s="75">
        <v>1355</v>
      </c>
      <c r="I6" s="75">
        <v>394875</v>
      </c>
      <c r="J6" s="75">
        <v>7650241</v>
      </c>
      <c r="K6" s="75">
        <v>305</v>
      </c>
      <c r="L6" s="76">
        <v>40581</v>
      </c>
      <c r="M6" s="75">
        <v>5010</v>
      </c>
      <c r="N6" s="75">
        <v>41</v>
      </c>
      <c r="O6" s="75">
        <v>4985</v>
      </c>
      <c r="P6" s="75">
        <v>91</v>
      </c>
      <c r="Q6" s="75">
        <f t="shared" si="0"/>
        <v>9995</v>
      </c>
      <c r="R6" s="75">
        <f t="shared" si="0"/>
        <v>132</v>
      </c>
      <c r="S6" s="75"/>
      <c r="T6" s="75"/>
      <c r="U6" s="77" t="s">
        <v>387</v>
      </c>
      <c r="V6" s="71" t="s">
        <v>415</v>
      </c>
      <c r="W6" s="101" t="s">
        <v>416</v>
      </c>
      <c r="X6" s="101" t="s">
        <v>417</v>
      </c>
      <c r="Y6" s="152" t="s">
        <v>418</v>
      </c>
      <c r="Z6" s="152" t="s">
        <v>419</v>
      </c>
      <c r="AA6" s="152" t="s">
        <v>420</v>
      </c>
      <c r="AB6" s="101" t="s">
        <v>421</v>
      </c>
      <c r="AC6" s="101">
        <v>279374</v>
      </c>
      <c r="AD6" s="101" t="s">
        <v>422</v>
      </c>
      <c r="AE6" s="101">
        <v>279374</v>
      </c>
      <c r="AF6" s="101" t="s">
        <v>423</v>
      </c>
      <c r="AG6" s="101">
        <v>279374</v>
      </c>
      <c r="AH6" s="101" t="s">
        <v>424</v>
      </c>
      <c r="AI6" s="101" t="s">
        <v>425</v>
      </c>
      <c r="AJ6" s="101" t="s">
        <v>390</v>
      </c>
      <c r="AL6" s="101" t="s">
        <v>426</v>
      </c>
      <c r="AM6" s="102">
        <v>800864</v>
      </c>
      <c r="AN6" s="101" t="s">
        <v>427</v>
      </c>
      <c r="AO6" s="101" t="s">
        <v>428</v>
      </c>
      <c r="AR6" s="104" t="s">
        <v>386</v>
      </c>
      <c r="AS6" s="106" t="s">
        <v>429</v>
      </c>
      <c r="AT6" s="106" t="s">
        <v>430</v>
      </c>
      <c r="AU6" s="107" t="s">
        <v>431</v>
      </c>
      <c r="AV6" s="107" t="s">
        <v>432</v>
      </c>
      <c r="AW6" s="107" t="s">
        <v>433</v>
      </c>
      <c r="AX6" s="19" t="s">
        <v>434</v>
      </c>
      <c r="AY6" s="2"/>
      <c r="AZ6" s="2"/>
    </row>
    <row r="7" spans="2:52" s="131" customFormat="1" x14ac:dyDescent="0.25">
      <c r="B7" s="130" t="s">
        <v>435</v>
      </c>
      <c r="G7" s="130" t="s">
        <v>435</v>
      </c>
      <c r="H7" s="132">
        <v>1319</v>
      </c>
      <c r="I7" s="132">
        <v>393122</v>
      </c>
      <c r="J7" s="132">
        <v>7651589</v>
      </c>
      <c r="K7" s="132">
        <v>254</v>
      </c>
      <c r="L7" s="133">
        <v>40535</v>
      </c>
      <c r="M7" s="132">
        <v>3065</v>
      </c>
      <c r="N7" s="132">
        <v>25</v>
      </c>
      <c r="O7" s="132">
        <v>3060</v>
      </c>
      <c r="P7" s="132">
        <v>56</v>
      </c>
      <c r="Q7" s="132">
        <f t="shared" si="0"/>
        <v>6125</v>
      </c>
      <c r="R7" s="132">
        <f t="shared" si="0"/>
        <v>81</v>
      </c>
      <c r="S7" s="132"/>
      <c r="T7" s="132"/>
      <c r="U7" s="134" t="s">
        <v>387</v>
      </c>
      <c r="V7" s="132" t="s">
        <v>435</v>
      </c>
      <c r="W7" s="99" t="s">
        <v>436</v>
      </c>
      <c r="X7" s="99" t="s">
        <v>437</v>
      </c>
      <c r="Y7" s="153" t="s">
        <v>438</v>
      </c>
      <c r="Z7" s="153" t="s">
        <v>439</v>
      </c>
      <c r="AA7" s="153" t="s">
        <v>440</v>
      </c>
      <c r="AB7" s="99" t="s">
        <v>441</v>
      </c>
      <c r="AC7" s="99">
        <v>279363</v>
      </c>
      <c r="AD7" s="99" t="s">
        <v>442</v>
      </c>
      <c r="AE7" s="99">
        <v>279363</v>
      </c>
      <c r="AF7" s="99" t="s">
        <v>443</v>
      </c>
      <c r="AG7" s="99">
        <v>279363</v>
      </c>
      <c r="AH7" s="99" t="s">
        <v>444</v>
      </c>
      <c r="AI7" s="99" t="s">
        <v>445</v>
      </c>
      <c r="AJ7" s="99" t="s">
        <v>446</v>
      </c>
      <c r="AL7" s="99" t="s">
        <v>447</v>
      </c>
      <c r="AM7" s="128">
        <v>800865</v>
      </c>
      <c r="AN7" s="99" t="s">
        <v>448</v>
      </c>
      <c r="AO7" s="99" t="s">
        <v>449</v>
      </c>
      <c r="AR7" s="139" t="s">
        <v>400</v>
      </c>
      <c r="AS7" s="140" t="s">
        <v>429</v>
      </c>
      <c r="AT7" s="140" t="s">
        <v>430</v>
      </c>
      <c r="AU7" s="138" t="s">
        <v>431</v>
      </c>
      <c r="AV7" s="138" t="s">
        <v>432</v>
      </c>
      <c r="AW7" s="138" t="s">
        <v>433</v>
      </c>
      <c r="AX7" s="138" t="s">
        <v>450</v>
      </c>
      <c r="AZ7" s="135"/>
    </row>
    <row r="8" spans="2:52" x14ac:dyDescent="0.25">
      <c r="B8" s="70" t="s">
        <v>451</v>
      </c>
      <c r="G8" s="70" t="s">
        <v>451</v>
      </c>
      <c r="H8" s="71">
        <v>1299</v>
      </c>
      <c r="I8" s="71">
        <v>392761</v>
      </c>
      <c r="J8" s="71">
        <v>7649930</v>
      </c>
      <c r="K8" s="71">
        <v>259</v>
      </c>
      <c r="L8" s="72">
        <v>40667</v>
      </c>
      <c r="M8" s="71">
        <v>3180</v>
      </c>
      <c r="N8" s="71">
        <v>26</v>
      </c>
      <c r="O8" s="71">
        <v>3085</v>
      </c>
      <c r="P8" s="71">
        <v>57</v>
      </c>
      <c r="Q8" s="71">
        <f t="shared" si="0"/>
        <v>6265</v>
      </c>
      <c r="R8" s="71">
        <f t="shared" si="0"/>
        <v>83</v>
      </c>
      <c r="S8" s="71"/>
      <c r="T8" s="71"/>
      <c r="U8" s="73" t="s">
        <v>387</v>
      </c>
      <c r="V8" s="71" t="s">
        <v>451</v>
      </c>
      <c r="W8" s="101" t="s">
        <v>416</v>
      </c>
      <c r="X8" s="101" t="s">
        <v>417</v>
      </c>
      <c r="Y8" s="152" t="s">
        <v>452</v>
      </c>
      <c r="Z8" s="152" t="s">
        <v>453</v>
      </c>
      <c r="AA8" s="152" t="s">
        <v>454</v>
      </c>
      <c r="AB8" s="101" t="s">
        <v>455</v>
      </c>
      <c r="AC8" s="101">
        <v>279381</v>
      </c>
      <c r="AD8" s="101" t="s">
        <v>456</v>
      </c>
      <c r="AE8" s="101">
        <v>279381</v>
      </c>
      <c r="AF8" s="101" t="s">
        <v>457</v>
      </c>
      <c r="AG8" s="101">
        <v>279381</v>
      </c>
      <c r="AH8" s="101" t="s">
        <v>458</v>
      </c>
      <c r="AI8" s="101" t="s">
        <v>459</v>
      </c>
      <c r="AJ8" s="101" t="s">
        <v>460</v>
      </c>
      <c r="AL8" s="101" t="s">
        <v>32</v>
      </c>
      <c r="AM8" s="102">
        <v>9022436</v>
      </c>
      <c r="AN8" s="102"/>
      <c r="AO8" s="101"/>
      <c r="AR8" s="104" t="s">
        <v>415</v>
      </c>
      <c r="AS8" s="106" t="s">
        <v>429</v>
      </c>
      <c r="AT8" s="106" t="s">
        <v>430</v>
      </c>
      <c r="AU8" s="107" t="s">
        <v>431</v>
      </c>
      <c r="AV8" s="107" t="s">
        <v>432</v>
      </c>
      <c r="AW8" s="46" t="s">
        <v>433</v>
      </c>
      <c r="AX8" s="46" t="s">
        <v>461</v>
      </c>
      <c r="AZ8" s="2"/>
    </row>
    <row r="9" spans="2:52" s="131" customFormat="1" x14ac:dyDescent="0.25">
      <c r="B9" s="130" t="s">
        <v>462</v>
      </c>
      <c r="G9" s="130" t="s">
        <v>462</v>
      </c>
      <c r="H9" s="132">
        <v>1270</v>
      </c>
      <c r="I9" s="132">
        <v>391127</v>
      </c>
      <c r="J9" s="132">
        <v>7648180</v>
      </c>
      <c r="K9" s="132">
        <v>322</v>
      </c>
      <c r="L9" s="133">
        <v>40698</v>
      </c>
      <c r="M9" s="132">
        <v>6835</v>
      </c>
      <c r="N9" s="132">
        <v>56</v>
      </c>
      <c r="O9" s="132">
        <v>6710</v>
      </c>
      <c r="P9" s="132">
        <v>123</v>
      </c>
      <c r="Q9" s="132">
        <f t="shared" si="0"/>
        <v>13545</v>
      </c>
      <c r="R9" s="132">
        <f t="shared" si="0"/>
        <v>179</v>
      </c>
      <c r="S9" s="132"/>
      <c r="T9" s="132"/>
      <c r="U9" s="134" t="s">
        <v>387</v>
      </c>
      <c r="V9" s="132" t="s">
        <v>462</v>
      </c>
      <c r="W9" s="99" t="s">
        <v>401</v>
      </c>
      <c r="X9" s="99" t="s">
        <v>402</v>
      </c>
      <c r="Y9" s="153" t="s">
        <v>463</v>
      </c>
      <c r="Z9" s="153" t="s">
        <v>464</v>
      </c>
      <c r="AA9" s="153" t="s">
        <v>465</v>
      </c>
      <c r="AB9" s="99" t="s">
        <v>466</v>
      </c>
      <c r="AC9" s="99">
        <v>279380</v>
      </c>
      <c r="AD9" s="99" t="s">
        <v>467</v>
      </c>
      <c r="AE9" s="99">
        <v>279380</v>
      </c>
      <c r="AF9" s="99" t="s">
        <v>468</v>
      </c>
      <c r="AG9" s="99">
        <v>279380</v>
      </c>
      <c r="AH9" s="99" t="s">
        <v>469</v>
      </c>
      <c r="AI9" s="99" t="s">
        <v>470</v>
      </c>
      <c r="AJ9" s="99" t="s">
        <v>463</v>
      </c>
      <c r="AR9" s="139" t="s">
        <v>435</v>
      </c>
      <c r="AS9" s="140" t="s">
        <v>429</v>
      </c>
      <c r="AT9" s="140" t="s">
        <v>430</v>
      </c>
      <c r="AU9" s="138" t="s">
        <v>431</v>
      </c>
      <c r="AV9" s="138" t="s">
        <v>432</v>
      </c>
      <c r="AW9" s="138" t="s">
        <v>433</v>
      </c>
      <c r="AX9" s="138" t="s">
        <v>471</v>
      </c>
      <c r="AZ9" s="135"/>
    </row>
    <row r="10" spans="2:52" x14ac:dyDescent="0.25">
      <c r="B10" s="74" t="s">
        <v>472</v>
      </c>
      <c r="G10" s="74" t="s">
        <v>472</v>
      </c>
      <c r="H10" s="75">
        <v>1356</v>
      </c>
      <c r="I10" s="75">
        <v>394897</v>
      </c>
      <c r="J10" s="75">
        <v>7650773</v>
      </c>
      <c r="K10" s="75">
        <v>258</v>
      </c>
      <c r="L10" s="76">
        <v>40805</v>
      </c>
      <c r="M10" s="75">
        <v>4875</v>
      </c>
      <c r="N10" s="75">
        <v>40</v>
      </c>
      <c r="O10" s="75">
        <v>4835</v>
      </c>
      <c r="P10" s="75">
        <v>88</v>
      </c>
      <c r="Q10" s="75">
        <f t="shared" si="0"/>
        <v>9710</v>
      </c>
      <c r="R10" s="75">
        <f t="shared" si="0"/>
        <v>128</v>
      </c>
      <c r="S10" s="75"/>
      <c r="T10" s="75"/>
      <c r="U10" s="77" t="s">
        <v>387</v>
      </c>
      <c r="V10" s="71" t="s">
        <v>472</v>
      </c>
      <c r="W10" s="101" t="s">
        <v>436</v>
      </c>
      <c r="X10" s="101" t="s">
        <v>437</v>
      </c>
      <c r="Y10" s="152" t="s">
        <v>403</v>
      </c>
      <c r="Z10" s="152" t="s">
        <v>473</v>
      </c>
      <c r="AA10" s="152" t="s">
        <v>474</v>
      </c>
      <c r="AB10" s="101" t="s">
        <v>475</v>
      </c>
      <c r="AC10" s="101">
        <v>279371</v>
      </c>
      <c r="AD10" s="101" t="s">
        <v>476</v>
      </c>
      <c r="AE10" s="101">
        <v>279371</v>
      </c>
      <c r="AF10" s="101" t="s">
        <v>477</v>
      </c>
      <c r="AG10" s="101">
        <v>279371</v>
      </c>
      <c r="AH10" s="101" t="s">
        <v>478</v>
      </c>
      <c r="AI10" s="101" t="s">
        <v>479</v>
      </c>
      <c r="AJ10" s="101" t="s">
        <v>480</v>
      </c>
      <c r="AR10" s="104" t="s">
        <v>451</v>
      </c>
      <c r="AS10" s="106" t="s">
        <v>429</v>
      </c>
      <c r="AT10" s="106" t="s">
        <v>430</v>
      </c>
      <c r="AU10" s="107" t="s">
        <v>431</v>
      </c>
      <c r="AV10" s="107" t="s">
        <v>432</v>
      </c>
      <c r="AW10" s="46" t="s">
        <v>433</v>
      </c>
      <c r="AX10" s="46" t="s">
        <v>481</v>
      </c>
      <c r="AZ10" s="2"/>
    </row>
    <row r="11" spans="2:52" s="131" customFormat="1" x14ac:dyDescent="0.25">
      <c r="B11" s="130" t="s">
        <v>482</v>
      </c>
      <c r="G11" s="130" t="s">
        <v>482</v>
      </c>
      <c r="H11" s="132">
        <v>1332</v>
      </c>
      <c r="I11" s="132">
        <v>393945</v>
      </c>
      <c r="J11" s="132">
        <v>7651154</v>
      </c>
      <c r="K11" s="132">
        <v>284</v>
      </c>
      <c r="L11" s="133">
        <v>40868</v>
      </c>
      <c r="M11" s="132">
        <v>3835</v>
      </c>
      <c r="N11" s="132">
        <v>31</v>
      </c>
      <c r="O11" s="132">
        <v>3850</v>
      </c>
      <c r="P11" s="132">
        <v>70</v>
      </c>
      <c r="Q11" s="132">
        <f t="shared" si="0"/>
        <v>7685</v>
      </c>
      <c r="R11" s="132">
        <f t="shared" si="0"/>
        <v>101</v>
      </c>
      <c r="S11" s="132"/>
      <c r="T11" s="132"/>
      <c r="U11" s="134" t="s">
        <v>387</v>
      </c>
      <c r="V11" s="132" t="s">
        <v>482</v>
      </c>
      <c r="W11" s="99" t="s">
        <v>436</v>
      </c>
      <c r="X11" s="99" t="s">
        <v>437</v>
      </c>
      <c r="Y11" s="153" t="s">
        <v>483</v>
      </c>
      <c r="Z11" s="153" t="s">
        <v>484</v>
      </c>
      <c r="AA11" s="153" t="s">
        <v>485</v>
      </c>
      <c r="AB11" s="99" t="s">
        <v>486</v>
      </c>
      <c r="AC11" s="99">
        <v>279367</v>
      </c>
      <c r="AD11" s="99" t="s">
        <v>487</v>
      </c>
      <c r="AE11" s="99">
        <v>279367</v>
      </c>
      <c r="AF11" s="99" t="s">
        <v>488</v>
      </c>
      <c r="AG11" s="99">
        <v>279367</v>
      </c>
      <c r="AH11" s="99" t="s">
        <v>489</v>
      </c>
      <c r="AI11" s="99" t="s">
        <v>490</v>
      </c>
      <c r="AJ11" s="99" t="s">
        <v>491</v>
      </c>
      <c r="AR11" s="139" t="s">
        <v>462</v>
      </c>
      <c r="AS11" s="140" t="s">
        <v>429</v>
      </c>
      <c r="AT11" s="140" t="s">
        <v>430</v>
      </c>
      <c r="AU11" s="138" t="s">
        <v>431</v>
      </c>
      <c r="AV11" s="138" t="s">
        <v>432</v>
      </c>
      <c r="AW11" s="138" t="s">
        <v>433</v>
      </c>
      <c r="AX11" s="138" t="s">
        <v>492</v>
      </c>
      <c r="AZ11" s="135"/>
    </row>
    <row r="12" spans="2:52" x14ac:dyDescent="0.25">
      <c r="B12" s="70" t="s">
        <v>77</v>
      </c>
      <c r="G12" s="70" t="s">
        <v>77</v>
      </c>
      <c r="H12" s="71">
        <v>1314</v>
      </c>
      <c r="I12" s="71">
        <v>393254</v>
      </c>
      <c r="J12" s="71">
        <v>7650977</v>
      </c>
      <c r="K12" s="71">
        <v>285</v>
      </c>
      <c r="L12" s="72">
        <v>41208</v>
      </c>
      <c r="M12" s="71">
        <v>3165</v>
      </c>
      <c r="N12" s="71">
        <v>25</v>
      </c>
      <c r="O12" s="71">
        <v>3165</v>
      </c>
      <c r="P12" s="71">
        <v>58</v>
      </c>
      <c r="Q12" s="71">
        <f t="shared" si="0"/>
        <v>6330</v>
      </c>
      <c r="R12" s="71">
        <f t="shared" si="0"/>
        <v>83</v>
      </c>
      <c r="S12" s="71"/>
      <c r="T12" s="71"/>
      <c r="U12" s="73" t="s">
        <v>387</v>
      </c>
      <c r="V12" s="71" t="s">
        <v>77</v>
      </c>
      <c r="W12" s="101" t="s">
        <v>416</v>
      </c>
      <c r="X12" s="101" t="s">
        <v>417</v>
      </c>
      <c r="Y12" s="152" t="s">
        <v>156</v>
      </c>
      <c r="Z12" s="152" t="s">
        <v>493</v>
      </c>
      <c r="AA12" s="152" t="s">
        <v>494</v>
      </c>
      <c r="AB12" s="101" t="s">
        <v>48</v>
      </c>
      <c r="AC12" s="101">
        <v>279368</v>
      </c>
      <c r="AD12" s="101" t="s">
        <v>127</v>
      </c>
      <c r="AE12" s="101">
        <v>279368</v>
      </c>
      <c r="AF12" s="101" t="s">
        <v>138</v>
      </c>
      <c r="AG12" s="101">
        <v>279368</v>
      </c>
      <c r="AH12" s="101" t="s">
        <v>144</v>
      </c>
      <c r="AI12" s="101" t="s">
        <v>147</v>
      </c>
      <c r="AJ12" s="101" t="s">
        <v>156</v>
      </c>
      <c r="AR12" s="104" t="s">
        <v>472</v>
      </c>
      <c r="AS12" s="106" t="s">
        <v>429</v>
      </c>
      <c r="AT12" s="106" t="s">
        <v>430</v>
      </c>
      <c r="AU12" s="107" t="s">
        <v>431</v>
      </c>
      <c r="AV12" s="107" t="s">
        <v>432</v>
      </c>
      <c r="AW12" s="46" t="s">
        <v>433</v>
      </c>
      <c r="AX12" s="46" t="s">
        <v>495</v>
      </c>
      <c r="AZ12" s="2"/>
    </row>
    <row r="13" spans="2:52" s="131" customFormat="1" x14ac:dyDescent="0.25">
      <c r="B13" s="130" t="s">
        <v>496</v>
      </c>
      <c r="G13" s="130" t="s">
        <v>496</v>
      </c>
      <c r="H13" s="132">
        <v>1365</v>
      </c>
      <c r="I13" s="132">
        <v>395248</v>
      </c>
      <c r="J13" s="132">
        <v>7651390</v>
      </c>
      <c r="K13" s="132">
        <v>167</v>
      </c>
      <c r="L13" s="133">
        <v>41251</v>
      </c>
      <c r="M13" s="132">
        <v>5525</v>
      </c>
      <c r="N13" s="132">
        <v>45</v>
      </c>
      <c r="O13" s="132">
        <v>5435</v>
      </c>
      <c r="P13" s="132">
        <v>99</v>
      </c>
      <c r="Q13" s="132">
        <f t="shared" si="0"/>
        <v>10960</v>
      </c>
      <c r="R13" s="132">
        <f t="shared" si="0"/>
        <v>144</v>
      </c>
      <c r="S13" s="132"/>
      <c r="T13" s="132"/>
      <c r="U13" s="134" t="s">
        <v>387</v>
      </c>
      <c r="V13" s="132" t="s">
        <v>496</v>
      </c>
      <c r="W13" s="99" t="s">
        <v>497</v>
      </c>
      <c r="X13" s="99" t="s">
        <v>498</v>
      </c>
      <c r="Y13" s="153" t="s">
        <v>480</v>
      </c>
      <c r="Z13" s="153" t="s">
        <v>499</v>
      </c>
      <c r="AA13" s="153" t="s">
        <v>500</v>
      </c>
      <c r="AB13" s="99" t="s">
        <v>501</v>
      </c>
      <c r="AC13" s="99">
        <v>279370</v>
      </c>
      <c r="AD13" s="99" t="s">
        <v>502</v>
      </c>
      <c r="AE13" s="99">
        <v>279370</v>
      </c>
      <c r="AF13" s="99" t="s">
        <v>503</v>
      </c>
      <c r="AG13" s="99">
        <v>279370</v>
      </c>
      <c r="AH13" s="99" t="s">
        <v>504</v>
      </c>
      <c r="AI13" s="99" t="s">
        <v>505</v>
      </c>
      <c r="AJ13" s="99" t="s">
        <v>506</v>
      </c>
      <c r="AR13" s="139" t="s">
        <v>482</v>
      </c>
      <c r="AS13" s="140" t="s">
        <v>429</v>
      </c>
      <c r="AT13" s="140" t="s">
        <v>430</v>
      </c>
      <c r="AU13" s="138" t="s">
        <v>431</v>
      </c>
      <c r="AV13" s="138" t="s">
        <v>432</v>
      </c>
      <c r="AW13" s="138" t="s">
        <v>433</v>
      </c>
      <c r="AX13" s="138" t="s">
        <v>507</v>
      </c>
      <c r="AZ13" s="135"/>
    </row>
    <row r="14" spans="2:52" x14ac:dyDescent="0.25">
      <c r="B14" s="70" t="s">
        <v>508</v>
      </c>
      <c r="G14" s="70" t="s">
        <v>508</v>
      </c>
      <c r="H14" s="71">
        <v>1350</v>
      </c>
      <c r="I14" s="71">
        <v>394637</v>
      </c>
      <c r="J14" s="71">
        <v>7650304</v>
      </c>
      <c r="K14" s="71">
        <v>287</v>
      </c>
      <c r="L14" s="72">
        <v>40919</v>
      </c>
      <c r="M14" s="71">
        <v>4810</v>
      </c>
      <c r="N14" s="71">
        <v>39</v>
      </c>
      <c r="O14" s="71">
        <v>4780</v>
      </c>
      <c r="P14" s="71">
        <v>88</v>
      </c>
      <c r="Q14" s="71">
        <f t="shared" si="0"/>
        <v>9590</v>
      </c>
      <c r="R14" s="71">
        <f t="shared" si="0"/>
        <v>127</v>
      </c>
      <c r="S14" s="71"/>
      <c r="T14" s="71"/>
      <c r="U14" s="73" t="s">
        <v>387</v>
      </c>
      <c r="V14" s="71" t="s">
        <v>508</v>
      </c>
      <c r="W14" s="101" t="s">
        <v>401</v>
      </c>
      <c r="X14" s="101" t="s">
        <v>402</v>
      </c>
      <c r="Y14" s="152" t="s">
        <v>509</v>
      </c>
      <c r="Z14" s="152" t="s">
        <v>510</v>
      </c>
      <c r="AA14" s="152" t="s">
        <v>511</v>
      </c>
      <c r="AB14" s="101" t="s">
        <v>512</v>
      </c>
      <c r="AC14" s="101">
        <v>279369</v>
      </c>
      <c r="AD14" s="101" t="s">
        <v>513</v>
      </c>
      <c r="AE14" s="101">
        <v>279369</v>
      </c>
      <c r="AF14" s="101" t="s">
        <v>514</v>
      </c>
      <c r="AG14" s="101">
        <v>279369</v>
      </c>
      <c r="AH14" s="101" t="s">
        <v>515</v>
      </c>
      <c r="AI14" s="101" t="s">
        <v>516</v>
      </c>
      <c r="AJ14" s="101" t="s">
        <v>452</v>
      </c>
      <c r="AR14" s="104" t="s">
        <v>77</v>
      </c>
      <c r="AS14" s="106" t="s">
        <v>429</v>
      </c>
      <c r="AT14" s="106" t="s">
        <v>430</v>
      </c>
      <c r="AU14" s="107" t="s">
        <v>431</v>
      </c>
      <c r="AV14" s="107" t="s">
        <v>432</v>
      </c>
      <c r="AW14" s="46" t="s">
        <v>433</v>
      </c>
      <c r="AX14" s="46" t="s">
        <v>517</v>
      </c>
      <c r="AZ14" s="2"/>
    </row>
    <row r="15" spans="2:52" s="131" customFormat="1" x14ac:dyDescent="0.25">
      <c r="B15" s="130" t="s">
        <v>518</v>
      </c>
      <c r="G15" s="130" t="s">
        <v>518</v>
      </c>
      <c r="H15" s="132">
        <v>1332</v>
      </c>
      <c r="I15" s="132">
        <v>393941</v>
      </c>
      <c r="J15" s="132">
        <v>7651497</v>
      </c>
      <c r="K15" s="132">
        <v>258</v>
      </c>
      <c r="L15" s="133">
        <v>40921</v>
      </c>
      <c r="M15" s="132">
        <v>4565</v>
      </c>
      <c r="N15" s="132">
        <v>37</v>
      </c>
      <c r="O15" s="132">
        <v>4540</v>
      </c>
      <c r="P15" s="132">
        <v>83</v>
      </c>
      <c r="Q15" s="132">
        <f t="shared" si="0"/>
        <v>9105</v>
      </c>
      <c r="R15" s="132">
        <f t="shared" si="0"/>
        <v>120</v>
      </c>
      <c r="S15" s="132"/>
      <c r="T15" s="132"/>
      <c r="U15" s="134" t="s">
        <v>387</v>
      </c>
      <c r="V15" s="132" t="s">
        <v>518</v>
      </c>
      <c r="W15" s="99" t="s">
        <v>436</v>
      </c>
      <c r="X15" s="99" t="s">
        <v>437</v>
      </c>
      <c r="Y15" s="153" t="s">
        <v>519</v>
      </c>
      <c r="Z15" s="153" t="s">
        <v>520</v>
      </c>
      <c r="AA15" s="153" t="s">
        <v>521</v>
      </c>
      <c r="AB15" s="99" t="s">
        <v>522</v>
      </c>
      <c r="AC15" s="99">
        <v>279366</v>
      </c>
      <c r="AD15" s="99" t="s">
        <v>523</v>
      </c>
      <c r="AE15" s="99">
        <v>279366</v>
      </c>
      <c r="AF15" s="99" t="s">
        <v>524</v>
      </c>
      <c r="AG15" s="99">
        <v>279366</v>
      </c>
      <c r="AH15" s="99" t="s">
        <v>525</v>
      </c>
      <c r="AI15" s="99" t="s">
        <v>526</v>
      </c>
      <c r="AJ15" s="99" t="s">
        <v>519</v>
      </c>
      <c r="AR15" s="139" t="s">
        <v>496</v>
      </c>
      <c r="AS15" s="140" t="s">
        <v>429</v>
      </c>
      <c r="AT15" s="140" t="s">
        <v>430</v>
      </c>
      <c r="AU15" s="138" t="s">
        <v>431</v>
      </c>
      <c r="AV15" s="138" t="s">
        <v>432</v>
      </c>
      <c r="AW15" s="138" t="s">
        <v>433</v>
      </c>
      <c r="AX15" s="138" t="s">
        <v>527</v>
      </c>
      <c r="AY15" s="135"/>
      <c r="AZ15" s="135"/>
    </row>
    <row r="16" spans="2:52" x14ac:dyDescent="0.25">
      <c r="B16" s="70" t="s">
        <v>528</v>
      </c>
      <c r="G16" s="70" t="s">
        <v>528</v>
      </c>
      <c r="H16" s="71">
        <v>1280</v>
      </c>
      <c r="I16" s="71">
        <v>391618</v>
      </c>
      <c r="J16" s="71">
        <v>7648647</v>
      </c>
      <c r="K16" s="71">
        <v>109</v>
      </c>
      <c r="L16" s="72">
        <v>41261</v>
      </c>
      <c r="M16" s="71">
        <v>3915</v>
      </c>
      <c r="N16" s="71">
        <v>32</v>
      </c>
      <c r="O16" s="71">
        <v>4205</v>
      </c>
      <c r="P16" s="71">
        <v>77</v>
      </c>
      <c r="Q16" s="71">
        <f t="shared" si="0"/>
        <v>8120</v>
      </c>
      <c r="R16" s="71">
        <f t="shared" si="0"/>
        <v>109</v>
      </c>
      <c r="S16" s="71"/>
      <c r="T16" s="71"/>
      <c r="U16" s="73" t="s">
        <v>387</v>
      </c>
      <c r="V16" s="71" t="s">
        <v>528</v>
      </c>
      <c r="W16" s="101" t="s">
        <v>497</v>
      </c>
      <c r="X16" s="101" t="s">
        <v>498</v>
      </c>
      <c r="Y16" s="152" t="s">
        <v>463</v>
      </c>
      <c r="Z16" s="152" t="s">
        <v>529</v>
      </c>
      <c r="AA16" s="152" t="s">
        <v>530</v>
      </c>
      <c r="AB16" s="101" t="s">
        <v>531</v>
      </c>
      <c r="AC16" s="101">
        <v>279372</v>
      </c>
      <c r="AD16" s="101" t="s">
        <v>532</v>
      </c>
      <c r="AE16" s="101">
        <v>279372</v>
      </c>
      <c r="AF16" s="101" t="s">
        <v>533</v>
      </c>
      <c r="AG16" s="101">
        <v>279372</v>
      </c>
      <c r="AH16" s="101" t="s">
        <v>534</v>
      </c>
      <c r="AI16" s="101" t="s">
        <v>535</v>
      </c>
      <c r="AJ16" s="101" t="s">
        <v>536</v>
      </c>
      <c r="AR16" s="104" t="s">
        <v>508</v>
      </c>
      <c r="AS16" s="106" t="s">
        <v>429</v>
      </c>
      <c r="AT16" s="106" t="s">
        <v>430</v>
      </c>
      <c r="AU16" s="107" t="s">
        <v>431</v>
      </c>
      <c r="AV16" s="107" t="s">
        <v>432</v>
      </c>
      <c r="AW16" s="46" t="s">
        <v>433</v>
      </c>
      <c r="AX16" s="46" t="s">
        <v>537</v>
      </c>
      <c r="AZ16" s="2"/>
    </row>
    <row r="17" spans="2:52" s="131" customFormat="1" x14ac:dyDescent="0.25">
      <c r="B17" s="130" t="s">
        <v>538</v>
      </c>
      <c r="G17" s="130" t="s">
        <v>538</v>
      </c>
      <c r="H17" s="132">
        <v>1267</v>
      </c>
      <c r="I17" s="132">
        <v>391444</v>
      </c>
      <c r="J17" s="132">
        <v>7649222</v>
      </c>
      <c r="K17" s="132">
        <v>100</v>
      </c>
      <c r="L17" s="133">
        <v>41393</v>
      </c>
      <c r="M17" s="132">
        <v>6380</v>
      </c>
      <c r="N17" s="132">
        <v>52</v>
      </c>
      <c r="O17" s="132">
        <v>6475</v>
      </c>
      <c r="P17" s="132">
        <v>118</v>
      </c>
      <c r="Q17" s="132">
        <f t="shared" si="0"/>
        <v>12855</v>
      </c>
      <c r="R17" s="132">
        <f t="shared" si="0"/>
        <v>170</v>
      </c>
      <c r="S17" s="132"/>
      <c r="T17" s="132"/>
      <c r="U17" s="134" t="s">
        <v>387</v>
      </c>
      <c r="V17" s="132" t="s">
        <v>538</v>
      </c>
      <c r="W17" s="99" t="s">
        <v>497</v>
      </c>
      <c r="X17" s="99" t="s">
        <v>498</v>
      </c>
      <c r="Y17" s="153" t="s">
        <v>483</v>
      </c>
      <c r="Z17" s="153" t="s">
        <v>539</v>
      </c>
      <c r="AA17" s="153" t="s">
        <v>540</v>
      </c>
      <c r="AB17" s="99" t="s">
        <v>541</v>
      </c>
      <c r="AC17" s="99">
        <v>279383</v>
      </c>
      <c r="AD17" s="99" t="s">
        <v>542</v>
      </c>
      <c r="AE17" s="99">
        <v>279383</v>
      </c>
      <c r="AF17" s="99" t="s">
        <v>543</v>
      </c>
      <c r="AG17" s="99">
        <v>279383</v>
      </c>
      <c r="AH17" s="99" t="s">
        <v>544</v>
      </c>
      <c r="AI17" s="99" t="s">
        <v>545</v>
      </c>
      <c r="AJ17" s="99" t="s">
        <v>546</v>
      </c>
      <c r="AR17" s="139" t="s">
        <v>518</v>
      </c>
      <c r="AS17" s="140" t="s">
        <v>429</v>
      </c>
      <c r="AT17" s="140" t="s">
        <v>430</v>
      </c>
      <c r="AU17" s="138" t="s">
        <v>431</v>
      </c>
      <c r="AV17" s="138" t="s">
        <v>432</v>
      </c>
      <c r="AW17" s="138" t="s">
        <v>433</v>
      </c>
      <c r="AX17" s="138" t="s">
        <v>547</v>
      </c>
      <c r="AZ17" s="135"/>
    </row>
    <row r="18" spans="2:52" x14ac:dyDescent="0.25">
      <c r="B18" s="70" t="s">
        <v>548</v>
      </c>
      <c r="G18" s="70" t="s">
        <v>548</v>
      </c>
      <c r="H18" s="71">
        <v>1299</v>
      </c>
      <c r="I18" s="71">
        <v>392859</v>
      </c>
      <c r="J18" s="71">
        <v>7650364</v>
      </c>
      <c r="K18" s="71">
        <v>305</v>
      </c>
      <c r="L18" s="72">
        <v>40517</v>
      </c>
      <c r="M18" s="71">
        <v>2660</v>
      </c>
      <c r="N18" s="71">
        <v>22</v>
      </c>
      <c r="O18" s="71">
        <v>2680</v>
      </c>
      <c r="P18" s="71">
        <v>49</v>
      </c>
      <c r="Q18" s="71">
        <f t="shared" si="0"/>
        <v>5340</v>
      </c>
      <c r="R18" s="71">
        <f t="shared" si="0"/>
        <v>71</v>
      </c>
      <c r="S18" s="71"/>
      <c r="T18" s="71"/>
      <c r="U18" s="73" t="s">
        <v>387</v>
      </c>
      <c r="V18" s="71" t="s">
        <v>548</v>
      </c>
      <c r="W18" s="101" t="s">
        <v>416</v>
      </c>
      <c r="X18" s="101" t="s">
        <v>417</v>
      </c>
      <c r="Y18" s="152" t="s">
        <v>491</v>
      </c>
      <c r="Z18" s="152" t="s">
        <v>549</v>
      </c>
      <c r="AA18" s="152" t="s">
        <v>550</v>
      </c>
      <c r="AB18" s="101" t="s">
        <v>551</v>
      </c>
      <c r="AC18" s="101">
        <v>422070</v>
      </c>
      <c r="AD18" s="101" t="s">
        <v>552</v>
      </c>
      <c r="AE18" s="101">
        <v>422070</v>
      </c>
      <c r="AF18" s="101" t="s">
        <v>553</v>
      </c>
      <c r="AG18" s="101">
        <v>422070</v>
      </c>
      <c r="AH18" s="101" t="s">
        <v>554</v>
      </c>
      <c r="AI18" s="101" t="s">
        <v>555</v>
      </c>
      <c r="AJ18" s="101" t="s">
        <v>403</v>
      </c>
      <c r="AR18" s="104" t="s">
        <v>528</v>
      </c>
      <c r="AS18" s="106" t="s">
        <v>429</v>
      </c>
      <c r="AT18" s="106" t="s">
        <v>430</v>
      </c>
      <c r="AU18" s="107" t="s">
        <v>431</v>
      </c>
      <c r="AV18" s="107" t="s">
        <v>432</v>
      </c>
      <c r="AW18" s="46" t="s">
        <v>433</v>
      </c>
      <c r="AX18" s="46" t="s">
        <v>556</v>
      </c>
      <c r="AY18" s="2"/>
      <c r="AZ18" s="2"/>
    </row>
    <row r="19" spans="2:52" s="131" customFormat="1" x14ac:dyDescent="0.25">
      <c r="B19" s="141" t="s">
        <v>557</v>
      </c>
      <c r="G19" s="141" t="s">
        <v>557</v>
      </c>
      <c r="H19" s="142">
        <v>1333</v>
      </c>
      <c r="I19" s="142">
        <v>394268</v>
      </c>
      <c r="J19" s="142">
        <v>7649710</v>
      </c>
      <c r="K19" s="142">
        <v>275.3</v>
      </c>
      <c r="L19" s="143">
        <v>41986</v>
      </c>
      <c r="M19" s="142">
        <v>4330</v>
      </c>
      <c r="N19" s="142">
        <v>35.5</v>
      </c>
      <c r="O19" s="142">
        <v>4460</v>
      </c>
      <c r="P19" s="142">
        <v>82</v>
      </c>
      <c r="Q19" s="142">
        <f t="shared" si="0"/>
        <v>8790</v>
      </c>
      <c r="R19" s="142">
        <f t="shared" si="0"/>
        <v>117.5</v>
      </c>
      <c r="S19" s="142"/>
      <c r="T19" s="142"/>
      <c r="U19" s="144" t="s">
        <v>387</v>
      </c>
      <c r="V19" s="132" t="s">
        <v>557</v>
      </c>
      <c r="W19" s="99" t="s">
        <v>388</v>
      </c>
      <c r="X19" s="99" t="s">
        <v>389</v>
      </c>
      <c r="Y19" s="153" t="s">
        <v>483</v>
      </c>
      <c r="Z19" s="153" t="s">
        <v>558</v>
      </c>
      <c r="AA19" s="153" t="s">
        <v>559</v>
      </c>
      <c r="AB19" s="99" t="s">
        <v>560</v>
      </c>
      <c r="AC19" s="99">
        <v>279377</v>
      </c>
      <c r="AD19" s="99" t="s">
        <v>561</v>
      </c>
      <c r="AE19" s="99">
        <v>279377</v>
      </c>
      <c r="AF19" s="99" t="s">
        <v>562</v>
      </c>
      <c r="AG19" s="99">
        <v>279377</v>
      </c>
      <c r="AH19" s="99" t="s">
        <v>563</v>
      </c>
      <c r="AI19" s="99" t="s">
        <v>564</v>
      </c>
      <c r="AJ19" s="99" t="s">
        <v>509</v>
      </c>
      <c r="AR19" s="139" t="s">
        <v>538</v>
      </c>
      <c r="AS19" s="140" t="s">
        <v>429</v>
      </c>
      <c r="AT19" s="140" t="s">
        <v>430</v>
      </c>
      <c r="AU19" s="138" t="s">
        <v>431</v>
      </c>
      <c r="AV19" s="138" t="s">
        <v>432</v>
      </c>
      <c r="AW19" s="138" t="s">
        <v>433</v>
      </c>
      <c r="AX19" s="138" t="s">
        <v>565</v>
      </c>
      <c r="AY19" s="135"/>
      <c r="AZ19" s="135"/>
    </row>
    <row r="20" spans="2:52" x14ac:dyDescent="0.25">
      <c r="B20" s="78" t="s">
        <v>566</v>
      </c>
      <c r="G20" s="78" t="s">
        <v>566</v>
      </c>
      <c r="H20" s="79">
        <v>1231</v>
      </c>
      <c r="I20" s="79">
        <v>392859</v>
      </c>
      <c r="J20" s="79">
        <v>7650364</v>
      </c>
      <c r="K20" s="79">
        <v>305</v>
      </c>
      <c r="L20" s="80"/>
      <c r="M20" s="79">
        <v>2660</v>
      </c>
      <c r="N20" s="79">
        <v>22</v>
      </c>
      <c r="O20" s="79">
        <v>2680</v>
      </c>
      <c r="P20" s="79">
        <v>49</v>
      </c>
      <c r="Q20" s="79">
        <f>O20+M20</f>
        <v>5340</v>
      </c>
      <c r="R20" s="79">
        <f>P20+N20</f>
        <v>71</v>
      </c>
      <c r="S20" s="79"/>
      <c r="T20" s="79"/>
      <c r="U20" s="81" t="s">
        <v>387</v>
      </c>
      <c r="V20" s="71" t="s">
        <v>566</v>
      </c>
      <c r="W20" s="101" t="s">
        <v>388</v>
      </c>
      <c r="X20" s="101" t="s">
        <v>389</v>
      </c>
      <c r="Y20" s="152" t="s">
        <v>446</v>
      </c>
      <c r="Z20" s="152" t="s">
        <v>567</v>
      </c>
      <c r="AA20" s="152" t="s">
        <v>568</v>
      </c>
      <c r="AB20" s="101" t="s">
        <v>569</v>
      </c>
      <c r="AC20" s="101">
        <v>279378</v>
      </c>
      <c r="AD20" s="101" t="s">
        <v>570</v>
      </c>
      <c r="AE20" s="101">
        <v>279378</v>
      </c>
      <c r="AF20" s="101" t="s">
        <v>571</v>
      </c>
      <c r="AG20" s="101">
        <v>279378</v>
      </c>
      <c r="AH20" s="101" t="s">
        <v>572</v>
      </c>
      <c r="AI20" s="101" t="s">
        <v>573</v>
      </c>
      <c r="AJ20" s="101" t="s">
        <v>574</v>
      </c>
      <c r="AR20" s="104" t="s">
        <v>548</v>
      </c>
      <c r="AS20" s="106" t="s">
        <v>429</v>
      </c>
      <c r="AT20" s="106" t="s">
        <v>430</v>
      </c>
      <c r="AU20" s="107" t="s">
        <v>431</v>
      </c>
      <c r="AV20" s="107" t="s">
        <v>432</v>
      </c>
      <c r="AW20" s="46" t="s">
        <v>433</v>
      </c>
      <c r="AX20" s="102" t="s">
        <v>575</v>
      </c>
      <c r="AY20" s="2"/>
      <c r="AZ20" s="2"/>
    </row>
    <row r="21" spans="2:52" s="131" customFormat="1" x14ac:dyDescent="0.25">
      <c r="B21" s="145" t="s">
        <v>576</v>
      </c>
      <c r="G21" s="145" t="s">
        <v>576</v>
      </c>
      <c r="H21" s="146">
        <v>1354</v>
      </c>
      <c r="I21" s="146">
        <v>392859</v>
      </c>
      <c r="J21" s="146">
        <v>7650364</v>
      </c>
      <c r="K21" s="146">
        <v>305</v>
      </c>
      <c r="L21" s="147" t="s">
        <v>105</v>
      </c>
      <c r="M21" s="146">
        <v>2660</v>
      </c>
      <c r="N21" s="146">
        <v>22</v>
      </c>
      <c r="O21" s="146">
        <v>2680</v>
      </c>
      <c r="P21" s="146">
        <v>49</v>
      </c>
      <c r="Q21" s="146">
        <f>O21+M21</f>
        <v>5340</v>
      </c>
      <c r="R21" s="146">
        <f>P21+N21</f>
        <v>71</v>
      </c>
      <c r="S21" s="146"/>
      <c r="T21" s="146"/>
      <c r="U21" s="148" t="s">
        <v>387</v>
      </c>
      <c r="V21" s="149" t="s">
        <v>576</v>
      </c>
      <c r="W21" s="99" t="s">
        <v>401</v>
      </c>
      <c r="X21" s="99" t="s">
        <v>402</v>
      </c>
      <c r="Y21" s="153" t="s">
        <v>536</v>
      </c>
      <c r="Z21" s="153" t="s">
        <v>577</v>
      </c>
      <c r="AA21" s="153" t="s">
        <v>578</v>
      </c>
      <c r="AB21" s="99" t="s">
        <v>579</v>
      </c>
      <c r="AC21" s="99">
        <v>279672</v>
      </c>
      <c r="AD21" s="99" t="s">
        <v>580</v>
      </c>
      <c r="AE21" s="99">
        <v>279672</v>
      </c>
      <c r="AF21" s="99" t="s">
        <v>581</v>
      </c>
      <c r="AG21" s="99">
        <v>279672</v>
      </c>
      <c r="AH21" s="99" t="s">
        <v>582</v>
      </c>
      <c r="AI21" s="99" t="s">
        <v>583</v>
      </c>
      <c r="AJ21" s="99" t="s">
        <v>584</v>
      </c>
      <c r="AR21" s="150" t="s">
        <v>557</v>
      </c>
      <c r="AS21" s="140" t="s">
        <v>429</v>
      </c>
      <c r="AT21" s="140" t="s">
        <v>430</v>
      </c>
      <c r="AU21" s="138" t="s">
        <v>431</v>
      </c>
      <c r="AV21" s="138" t="s">
        <v>432</v>
      </c>
      <c r="AW21" s="138" t="s">
        <v>433</v>
      </c>
      <c r="AX21" s="138" t="s">
        <v>585</v>
      </c>
      <c r="AZ21" s="135"/>
    </row>
    <row r="22" spans="2:52" x14ac:dyDescent="0.25">
      <c r="AR22" s="105" t="s">
        <v>566</v>
      </c>
      <c r="AS22" s="106" t="s">
        <v>429</v>
      </c>
      <c r="AT22" s="106" t="s">
        <v>430</v>
      </c>
      <c r="AU22" s="107" t="s">
        <v>431</v>
      </c>
      <c r="AV22" s="107" t="s">
        <v>432</v>
      </c>
      <c r="AW22" s="46" t="s">
        <v>433</v>
      </c>
      <c r="AX22" s="46" t="s">
        <v>586</v>
      </c>
      <c r="AZ22" s="2"/>
    </row>
    <row r="23" spans="2:52" x14ac:dyDescent="0.25">
      <c r="W23" s="103"/>
      <c r="AR23" s="105" t="s">
        <v>576</v>
      </c>
      <c r="AS23" s="106" t="s">
        <v>429</v>
      </c>
      <c r="AT23" s="106" t="s">
        <v>430</v>
      </c>
      <c r="AU23" s="46" t="s">
        <v>431</v>
      </c>
      <c r="AV23" s="46" t="s">
        <v>432</v>
      </c>
      <c r="AW23" s="46" t="s">
        <v>433</v>
      </c>
      <c r="AX23" s="46" t="s">
        <v>587</v>
      </c>
      <c r="AY23" s="2"/>
      <c r="AZ23" s="2"/>
    </row>
    <row r="24" spans="2:52" x14ac:dyDescent="0.25">
      <c r="AR24" s="2"/>
      <c r="AS24" s="2"/>
      <c r="AT24" s="2"/>
      <c r="AU24" s="2"/>
      <c r="AV24" s="2"/>
      <c r="AW24" s="2"/>
      <c r="AX24" s="2"/>
      <c r="AY24" s="2"/>
      <c r="AZ24" s="2"/>
    </row>
    <row r="28" spans="2:52" ht="39.6" x14ac:dyDescent="0.25">
      <c r="B28" s="113"/>
      <c r="C28" s="113" t="s">
        <v>588</v>
      </c>
      <c r="D28" s="113" t="s">
        <v>589</v>
      </c>
      <c r="E28" s="113" t="s">
        <v>590</v>
      </c>
      <c r="F28" s="113" t="s">
        <v>591</v>
      </c>
      <c r="G28" s="113" t="s">
        <v>592</v>
      </c>
      <c r="H28" s="113" t="s">
        <v>593</v>
      </c>
      <c r="I28" s="113" t="s">
        <v>594</v>
      </c>
      <c r="J28" s="113" t="s">
        <v>595</v>
      </c>
      <c r="K28" s="113" t="s">
        <v>596</v>
      </c>
      <c r="L28" s="113" t="s">
        <v>597</v>
      </c>
      <c r="M28" s="113" t="s">
        <v>598</v>
      </c>
      <c r="N28" s="113" t="s">
        <v>599</v>
      </c>
      <c r="O28" s="113" t="s">
        <v>600</v>
      </c>
      <c r="P28" s="113" t="s">
        <v>601</v>
      </c>
      <c r="Q28" s="113" t="s">
        <v>602</v>
      </c>
      <c r="R28" s="113" t="s">
        <v>603</v>
      </c>
      <c r="S28" s="113" t="s">
        <v>604</v>
      </c>
      <c r="T28" s="113" t="s">
        <v>605</v>
      </c>
      <c r="U28" s="113" t="s">
        <v>606</v>
      </c>
      <c r="V28" s="113" t="s">
        <v>607</v>
      </c>
      <c r="W28" s="113" t="s">
        <v>608</v>
      </c>
      <c r="X28" s="59" t="s">
        <v>609</v>
      </c>
      <c r="Y28" s="19" t="s">
        <v>188</v>
      </c>
      <c r="Z28" s="19" t="s">
        <v>189</v>
      </c>
    </row>
    <row r="29" spans="2:52" x14ac:dyDescent="0.25">
      <c r="B29" s="29" t="s">
        <v>548</v>
      </c>
      <c r="C29" s="114" t="s">
        <v>610</v>
      </c>
      <c r="D29" s="114" t="s">
        <v>611</v>
      </c>
      <c r="E29" s="114" t="s">
        <v>612</v>
      </c>
      <c r="F29" s="114" t="s">
        <v>613</v>
      </c>
      <c r="G29" s="114" t="s">
        <v>614</v>
      </c>
      <c r="H29" s="114" t="s">
        <v>615</v>
      </c>
      <c r="I29" s="115" t="s">
        <v>616</v>
      </c>
      <c r="J29" s="114" t="s">
        <v>617</v>
      </c>
      <c r="K29" s="114" t="s">
        <v>618</v>
      </c>
      <c r="L29" s="114" t="s">
        <v>619</v>
      </c>
      <c r="M29" s="114" t="s">
        <v>620</v>
      </c>
      <c r="N29" s="114" t="s">
        <v>621</v>
      </c>
      <c r="O29" s="114" t="s">
        <v>622</v>
      </c>
      <c r="P29" s="114" t="s">
        <v>623</v>
      </c>
      <c r="Q29" s="114" t="s">
        <v>624</v>
      </c>
      <c r="R29" s="114" t="s">
        <v>625</v>
      </c>
      <c r="S29" s="114" t="s">
        <v>626</v>
      </c>
      <c r="T29" t="s">
        <v>627</v>
      </c>
      <c r="U29" t="s">
        <v>628</v>
      </c>
      <c r="V29" t="s">
        <v>629</v>
      </c>
      <c r="W29" t="s">
        <v>630</v>
      </c>
      <c r="X29" s="30" t="s">
        <v>631</v>
      </c>
      <c r="Y29" s="116" t="s">
        <v>628</v>
      </c>
      <c r="Z29" s="116" t="s">
        <v>629</v>
      </c>
      <c r="AB29" s="30" t="s">
        <v>632</v>
      </c>
      <c r="AC29" t="s">
        <v>633</v>
      </c>
    </row>
    <row r="30" spans="2:52" x14ac:dyDescent="0.25">
      <c r="B30" s="29" t="s">
        <v>538</v>
      </c>
      <c r="C30" s="117" t="s">
        <v>634</v>
      </c>
      <c r="D30" s="117" t="s">
        <v>635</v>
      </c>
      <c r="E30" s="114"/>
      <c r="F30" s="114"/>
      <c r="G30" s="114" t="s">
        <v>636</v>
      </c>
      <c r="H30" s="114" t="s">
        <v>637</v>
      </c>
      <c r="I30" s="115" t="s">
        <v>638</v>
      </c>
      <c r="J30" s="114" t="s">
        <v>639</v>
      </c>
      <c r="K30" s="114" t="s">
        <v>640</v>
      </c>
      <c r="L30" s="114" t="s">
        <v>641</v>
      </c>
      <c r="M30" s="114" t="s">
        <v>642</v>
      </c>
      <c r="N30" s="114" t="s">
        <v>643</v>
      </c>
      <c r="O30" s="114" t="s">
        <v>644</v>
      </c>
      <c r="P30" s="114" t="s">
        <v>645</v>
      </c>
      <c r="Q30" s="114" t="s">
        <v>646</v>
      </c>
      <c r="R30" s="114" t="s">
        <v>647</v>
      </c>
      <c r="S30" s="114" t="s">
        <v>648</v>
      </c>
      <c r="T30" t="s">
        <v>649</v>
      </c>
      <c r="U30" s="30" t="s">
        <v>650</v>
      </c>
      <c r="V30" s="30" t="s">
        <v>651</v>
      </c>
      <c r="W30" s="30" t="s">
        <v>652</v>
      </c>
      <c r="X30" s="30" t="s">
        <v>653</v>
      </c>
      <c r="Y30" s="19" t="s">
        <v>650</v>
      </c>
      <c r="Z30" s="19" t="s">
        <v>651</v>
      </c>
      <c r="AB30" s="30" t="s">
        <v>654</v>
      </c>
      <c r="AC30" t="s">
        <v>655</v>
      </c>
    </row>
    <row r="31" spans="2:52" x14ac:dyDescent="0.25">
      <c r="B31" s="29" t="s">
        <v>576</v>
      </c>
      <c r="C31" s="114" t="s">
        <v>656</v>
      </c>
      <c r="D31" s="114" t="s">
        <v>657</v>
      </c>
      <c r="E31" s="114" t="s">
        <v>658</v>
      </c>
      <c r="F31" s="114" t="s">
        <v>659</v>
      </c>
      <c r="G31" s="114" t="s">
        <v>660</v>
      </c>
      <c r="H31" s="114" t="s">
        <v>661</v>
      </c>
      <c r="I31" s="115" t="s">
        <v>662</v>
      </c>
      <c r="J31" s="114" t="s">
        <v>663</v>
      </c>
      <c r="K31" s="117" t="s">
        <v>664</v>
      </c>
      <c r="L31" s="117" t="s">
        <v>665</v>
      </c>
      <c r="M31" s="117" t="s">
        <v>666</v>
      </c>
      <c r="N31" s="117" t="s">
        <v>667</v>
      </c>
      <c r="O31" s="117" t="s">
        <v>668</v>
      </c>
      <c r="P31" s="117" t="s">
        <v>669</v>
      </c>
      <c r="Q31" s="114" t="s">
        <v>670</v>
      </c>
      <c r="R31" s="114" t="s">
        <v>671</v>
      </c>
      <c r="S31" s="114" t="s">
        <v>672</v>
      </c>
      <c r="T31" s="30" t="s">
        <v>673</v>
      </c>
      <c r="U31" s="30" t="s">
        <v>674</v>
      </c>
      <c r="V31" s="30" t="s">
        <v>675</v>
      </c>
      <c r="W31" s="30" t="s">
        <v>676</v>
      </c>
      <c r="X31" s="30" t="s">
        <v>677</v>
      </c>
      <c r="Y31" s="116" t="s">
        <v>674</v>
      </c>
      <c r="Z31" s="116" t="s">
        <v>675</v>
      </c>
      <c r="AB31" s="30" t="s">
        <v>678</v>
      </c>
      <c r="AC31" t="s">
        <v>679</v>
      </c>
    </row>
    <row r="32" spans="2:52" x14ac:dyDescent="0.25">
      <c r="B32" s="29" t="s">
        <v>566</v>
      </c>
      <c r="C32" s="114" t="s">
        <v>680</v>
      </c>
      <c r="D32" s="114" t="s">
        <v>681</v>
      </c>
      <c r="E32" s="114" t="s">
        <v>682</v>
      </c>
      <c r="F32" s="114" t="s">
        <v>683</v>
      </c>
      <c r="G32" s="114" t="s">
        <v>684</v>
      </c>
      <c r="H32" s="114" t="s">
        <v>685</v>
      </c>
      <c r="I32" s="115" t="s">
        <v>686</v>
      </c>
      <c r="J32" s="114" t="s">
        <v>687</v>
      </c>
      <c r="T32" s="30" t="s">
        <v>688</v>
      </c>
      <c r="U32" s="30" t="s">
        <v>689</v>
      </c>
      <c r="V32" s="30" t="s">
        <v>690</v>
      </c>
      <c r="W32" s="30" t="s">
        <v>691</v>
      </c>
      <c r="X32" s="30" t="s">
        <v>692</v>
      </c>
      <c r="Y32" s="19" t="s">
        <v>689</v>
      </c>
      <c r="Z32" s="19" t="s">
        <v>690</v>
      </c>
      <c r="AB32" s="30" t="s">
        <v>650</v>
      </c>
      <c r="AC32" t="s">
        <v>693</v>
      </c>
    </row>
    <row r="33" spans="2:29" x14ac:dyDescent="0.25">
      <c r="B33" s="29" t="s">
        <v>557</v>
      </c>
      <c r="C33" s="114" t="s">
        <v>694</v>
      </c>
      <c r="D33" s="114" t="s">
        <v>695</v>
      </c>
      <c r="E33" s="114" t="s">
        <v>696</v>
      </c>
      <c r="F33" s="114" t="s">
        <v>697</v>
      </c>
      <c r="G33" s="114" t="s">
        <v>698</v>
      </c>
      <c r="H33" s="114" t="s">
        <v>699</v>
      </c>
      <c r="I33" s="115" t="s">
        <v>700</v>
      </c>
      <c r="J33" s="114" t="s">
        <v>701</v>
      </c>
      <c r="T33" s="30" t="s">
        <v>702</v>
      </c>
      <c r="U33" s="30" t="s">
        <v>703</v>
      </c>
      <c r="V33" s="30" t="s">
        <v>704</v>
      </c>
      <c r="W33" s="30" t="s">
        <v>705</v>
      </c>
      <c r="X33" s="30" t="s">
        <v>706</v>
      </c>
      <c r="Y33" s="116" t="s">
        <v>703</v>
      </c>
      <c r="Z33" s="116" t="s">
        <v>704</v>
      </c>
      <c r="AB33" s="30" t="s">
        <v>628</v>
      </c>
      <c r="AC33" t="s">
        <v>707</v>
      </c>
    </row>
    <row r="34" spans="2:29" x14ac:dyDescent="0.25">
      <c r="B34" s="29" t="s">
        <v>528</v>
      </c>
      <c r="C34" s="125" t="s">
        <v>708</v>
      </c>
      <c r="D34" s="125" t="s">
        <v>709</v>
      </c>
      <c r="E34" s="125" t="s">
        <v>710</v>
      </c>
      <c r="F34" s="125" t="s">
        <v>711</v>
      </c>
      <c r="G34" s="125" t="s">
        <v>712</v>
      </c>
      <c r="H34" s="125" t="s">
        <v>713</v>
      </c>
      <c r="I34" s="126" t="s">
        <v>714</v>
      </c>
      <c r="J34" s="125" t="s">
        <v>715</v>
      </c>
      <c r="K34" s="125" t="s">
        <v>716</v>
      </c>
      <c r="L34" s="125" t="s">
        <v>717</v>
      </c>
      <c r="M34" s="125" t="s">
        <v>718</v>
      </c>
      <c r="N34" s="125" t="s">
        <v>719</v>
      </c>
      <c r="O34" s="125" t="s">
        <v>720</v>
      </c>
      <c r="P34" s="125" t="s">
        <v>721</v>
      </c>
      <c r="Q34" s="125" t="s">
        <v>722</v>
      </c>
      <c r="R34" s="125" t="s">
        <v>723</v>
      </c>
      <c r="S34" s="125" t="s">
        <v>724</v>
      </c>
      <c r="T34" t="s">
        <v>725</v>
      </c>
      <c r="U34" s="30" t="s">
        <v>678</v>
      </c>
      <c r="V34" s="30" t="s">
        <v>726</v>
      </c>
      <c r="W34" s="30" t="s">
        <v>727</v>
      </c>
      <c r="X34" s="30" t="s">
        <v>728</v>
      </c>
      <c r="Y34" s="19" t="s">
        <v>678</v>
      </c>
      <c r="Z34" s="19" t="s">
        <v>726</v>
      </c>
      <c r="AB34" s="30" t="s">
        <v>729</v>
      </c>
      <c r="AC34" t="s">
        <v>730</v>
      </c>
    </row>
    <row r="35" spans="2:29" x14ac:dyDescent="0.25">
      <c r="B35" s="29" t="s">
        <v>518</v>
      </c>
      <c r="C35" s="114" t="s">
        <v>731</v>
      </c>
      <c r="D35" s="114" t="s">
        <v>732</v>
      </c>
      <c r="E35" s="114" t="s">
        <v>733</v>
      </c>
      <c r="F35" s="114" t="s">
        <v>734</v>
      </c>
      <c r="G35" s="114" t="s">
        <v>735</v>
      </c>
      <c r="H35" s="114" t="s">
        <v>736</v>
      </c>
      <c r="I35" s="115" t="s">
        <v>737</v>
      </c>
      <c r="J35" s="114" t="s">
        <v>738</v>
      </c>
      <c r="K35" s="114" t="s">
        <v>739</v>
      </c>
      <c r="L35" s="114" t="s">
        <v>740</v>
      </c>
      <c r="M35" s="114" t="s">
        <v>741</v>
      </c>
      <c r="N35" s="114" t="s">
        <v>742</v>
      </c>
      <c r="O35" s="114" t="s">
        <v>743</v>
      </c>
      <c r="P35" s="114" t="s">
        <v>744</v>
      </c>
      <c r="Q35" s="114" t="s">
        <v>745</v>
      </c>
      <c r="R35" s="114" t="s">
        <v>746</v>
      </c>
      <c r="S35" s="114" t="s">
        <v>747</v>
      </c>
      <c r="T35" t="s">
        <v>748</v>
      </c>
      <c r="U35" t="s">
        <v>749</v>
      </c>
      <c r="V35" t="s">
        <v>750</v>
      </c>
      <c r="W35" t="s">
        <v>751</v>
      </c>
      <c r="X35" s="30" t="s">
        <v>752</v>
      </c>
      <c r="Y35" s="116" t="s">
        <v>749</v>
      </c>
      <c r="Z35" s="116" t="s">
        <v>750</v>
      </c>
      <c r="AB35" s="30" t="s">
        <v>753</v>
      </c>
      <c r="AC35" t="s">
        <v>754</v>
      </c>
    </row>
    <row r="36" spans="2:29" x14ac:dyDescent="0.25">
      <c r="B36" s="29" t="s">
        <v>508</v>
      </c>
      <c r="C36" s="114" t="s">
        <v>755</v>
      </c>
      <c r="D36" s="114" t="s">
        <v>756</v>
      </c>
      <c r="E36" s="114" t="s">
        <v>757</v>
      </c>
      <c r="F36" s="114" t="s">
        <v>758</v>
      </c>
      <c r="G36" s="114" t="s">
        <v>759</v>
      </c>
      <c r="H36" s="114" t="s">
        <v>760</v>
      </c>
      <c r="I36" s="115" t="s">
        <v>761</v>
      </c>
      <c r="J36" s="114" t="s">
        <v>762</v>
      </c>
      <c r="K36" s="114" t="s">
        <v>763</v>
      </c>
      <c r="L36" s="114" t="s">
        <v>764</v>
      </c>
      <c r="M36" s="114" t="s">
        <v>765</v>
      </c>
      <c r="N36" s="114" t="s">
        <v>766</v>
      </c>
      <c r="O36" s="114" t="s">
        <v>767</v>
      </c>
      <c r="P36" s="114" t="s">
        <v>768</v>
      </c>
      <c r="Q36" s="114" t="s">
        <v>769</v>
      </c>
      <c r="R36" s="114" t="s">
        <v>770</v>
      </c>
      <c r="S36" s="114" t="s">
        <v>771</v>
      </c>
      <c r="T36" t="s">
        <v>772</v>
      </c>
      <c r="U36" t="s">
        <v>773</v>
      </c>
      <c r="V36" t="s">
        <v>774</v>
      </c>
      <c r="W36" t="s">
        <v>775</v>
      </c>
      <c r="X36" s="30" t="s">
        <v>776</v>
      </c>
      <c r="Y36" s="19" t="s">
        <v>773</v>
      </c>
      <c r="Z36" s="19" t="s">
        <v>774</v>
      </c>
      <c r="AB36" s="30" t="s">
        <v>777</v>
      </c>
      <c r="AC36" t="s">
        <v>778</v>
      </c>
    </row>
    <row r="37" spans="2:29" x14ac:dyDescent="0.25">
      <c r="B37" s="29" t="s">
        <v>496</v>
      </c>
      <c r="C37" s="114" t="s">
        <v>779</v>
      </c>
      <c r="D37" s="114" t="s">
        <v>780</v>
      </c>
      <c r="E37" s="114" t="s">
        <v>781</v>
      </c>
      <c r="F37" s="114" t="s">
        <v>782</v>
      </c>
      <c r="G37" s="114"/>
      <c r="H37" s="114" t="s">
        <v>783</v>
      </c>
      <c r="I37" s="115" t="s">
        <v>784</v>
      </c>
      <c r="J37" s="114" t="s">
        <v>785</v>
      </c>
      <c r="K37" s="114" t="s">
        <v>786</v>
      </c>
      <c r="L37" s="114" t="s">
        <v>787</v>
      </c>
      <c r="M37" s="114" t="s">
        <v>788</v>
      </c>
      <c r="N37" s="114" t="s">
        <v>789</v>
      </c>
      <c r="O37" s="114" t="s">
        <v>790</v>
      </c>
      <c r="P37" s="114" t="s">
        <v>791</v>
      </c>
      <c r="Q37" s="114" t="s">
        <v>792</v>
      </c>
      <c r="R37" s="114" t="s">
        <v>793</v>
      </c>
      <c r="S37" s="114" t="s">
        <v>794</v>
      </c>
      <c r="T37" t="s">
        <v>795</v>
      </c>
      <c r="U37" s="30" t="s">
        <v>654</v>
      </c>
      <c r="V37" s="30" t="s">
        <v>796</v>
      </c>
      <c r="W37" s="30" t="s">
        <v>797</v>
      </c>
      <c r="X37" s="30" t="s">
        <v>798</v>
      </c>
      <c r="Y37" s="116" t="s">
        <v>654</v>
      </c>
      <c r="Z37" s="116" t="s">
        <v>796</v>
      </c>
      <c r="AB37" s="30" t="s">
        <v>799</v>
      </c>
      <c r="AC37" t="s">
        <v>800</v>
      </c>
    </row>
    <row r="38" spans="2:29" s="235" customFormat="1" x14ac:dyDescent="0.25">
      <c r="B38" s="232" t="s">
        <v>77</v>
      </c>
      <c r="C38" s="233" t="s">
        <v>801</v>
      </c>
      <c r="D38" s="233" t="s">
        <v>802</v>
      </c>
      <c r="E38" s="233" t="s">
        <v>803</v>
      </c>
      <c r="F38" s="233" t="s">
        <v>804</v>
      </c>
      <c r="G38" s="233" t="s">
        <v>805</v>
      </c>
      <c r="H38" s="233" t="s">
        <v>806</v>
      </c>
      <c r="I38" s="234" t="s">
        <v>807</v>
      </c>
      <c r="J38" s="233" t="s">
        <v>808</v>
      </c>
      <c r="K38" s="233" t="s">
        <v>809</v>
      </c>
      <c r="L38" s="233" t="s">
        <v>810</v>
      </c>
      <c r="M38" s="233" t="s">
        <v>811</v>
      </c>
      <c r="N38" s="233" t="s">
        <v>812</v>
      </c>
      <c r="O38" s="233" t="s">
        <v>813</v>
      </c>
      <c r="P38" s="233" t="s">
        <v>814</v>
      </c>
      <c r="Q38" s="233" t="s">
        <v>815</v>
      </c>
      <c r="R38" s="233" t="s">
        <v>816</v>
      </c>
      <c r="S38" s="233" t="s">
        <v>817</v>
      </c>
      <c r="T38" s="235" t="s">
        <v>818</v>
      </c>
      <c r="U38" s="235" t="s">
        <v>819</v>
      </c>
      <c r="V38" s="235" t="s">
        <v>820</v>
      </c>
      <c r="W38" s="235" t="s">
        <v>821</v>
      </c>
      <c r="X38" s="236" t="s">
        <v>822</v>
      </c>
      <c r="Y38" s="237" t="s">
        <v>819</v>
      </c>
      <c r="Z38" s="237" t="s">
        <v>820</v>
      </c>
      <c r="AB38" s="236" t="s">
        <v>823</v>
      </c>
      <c r="AC38" s="235" t="s">
        <v>824</v>
      </c>
    </row>
    <row r="39" spans="2:29" x14ac:dyDescent="0.25">
      <c r="B39" s="29" t="s">
        <v>482</v>
      </c>
      <c r="C39" s="114" t="s">
        <v>825</v>
      </c>
      <c r="D39" s="114" t="s">
        <v>826</v>
      </c>
      <c r="E39" s="114" t="s">
        <v>827</v>
      </c>
      <c r="F39" s="114" t="s">
        <v>828</v>
      </c>
      <c r="G39" s="114" t="s">
        <v>829</v>
      </c>
      <c r="H39" s="114" t="s">
        <v>830</v>
      </c>
      <c r="I39" s="115" t="s">
        <v>831</v>
      </c>
      <c r="J39" s="114" t="s">
        <v>832</v>
      </c>
      <c r="K39" s="114" t="s">
        <v>833</v>
      </c>
      <c r="L39" s="114" t="s">
        <v>834</v>
      </c>
      <c r="M39" s="114" t="s">
        <v>835</v>
      </c>
      <c r="N39" s="114" t="s">
        <v>836</v>
      </c>
      <c r="O39" s="114" t="s">
        <v>837</v>
      </c>
      <c r="P39" s="114" t="s">
        <v>838</v>
      </c>
      <c r="Q39" s="114" t="s">
        <v>839</v>
      </c>
      <c r="R39" s="114" t="s">
        <v>840</v>
      </c>
      <c r="S39" s="114" t="s">
        <v>841</v>
      </c>
      <c r="T39" t="s">
        <v>842</v>
      </c>
      <c r="U39" t="s">
        <v>843</v>
      </c>
      <c r="V39" t="s">
        <v>844</v>
      </c>
      <c r="W39" t="s">
        <v>845</v>
      </c>
      <c r="X39" s="30" t="s">
        <v>846</v>
      </c>
      <c r="Y39" s="116" t="s">
        <v>843</v>
      </c>
      <c r="Z39" s="116" t="s">
        <v>844</v>
      </c>
      <c r="AB39" s="30" t="s">
        <v>847</v>
      </c>
      <c r="AC39" t="s">
        <v>848</v>
      </c>
    </row>
    <row r="40" spans="2:29" x14ac:dyDescent="0.25">
      <c r="B40" s="29" t="s">
        <v>472</v>
      </c>
      <c r="C40" s="114" t="s">
        <v>849</v>
      </c>
      <c r="D40" s="114" t="s">
        <v>850</v>
      </c>
      <c r="E40" s="114" t="s">
        <v>851</v>
      </c>
      <c r="F40" s="114" t="s">
        <v>852</v>
      </c>
      <c r="G40" s="114" t="s">
        <v>853</v>
      </c>
      <c r="H40" s="114" t="s">
        <v>854</v>
      </c>
      <c r="I40" s="115" t="s">
        <v>855</v>
      </c>
      <c r="J40" s="114" t="s">
        <v>856</v>
      </c>
      <c r="K40" s="114" t="s">
        <v>857</v>
      </c>
      <c r="L40" s="114" t="s">
        <v>858</v>
      </c>
      <c r="M40" s="114" t="s">
        <v>859</v>
      </c>
      <c r="N40" s="114" t="s">
        <v>860</v>
      </c>
      <c r="O40" s="114" t="s">
        <v>861</v>
      </c>
      <c r="P40" s="114" t="s">
        <v>862</v>
      </c>
      <c r="Q40" s="114" t="s">
        <v>863</v>
      </c>
      <c r="R40" s="114" t="s">
        <v>864</v>
      </c>
      <c r="S40" s="114" t="s">
        <v>865</v>
      </c>
      <c r="T40" t="s">
        <v>866</v>
      </c>
      <c r="U40" t="s">
        <v>847</v>
      </c>
      <c r="V40" t="s">
        <v>867</v>
      </c>
      <c r="W40" t="s">
        <v>868</v>
      </c>
      <c r="X40" s="30" t="s">
        <v>869</v>
      </c>
      <c r="Y40" s="19" t="s">
        <v>847</v>
      </c>
      <c r="Z40" s="19" t="s">
        <v>867</v>
      </c>
      <c r="AB40" s="30" t="s">
        <v>843</v>
      </c>
      <c r="AC40" t="s">
        <v>870</v>
      </c>
    </row>
    <row r="41" spans="2:29" x14ac:dyDescent="0.25">
      <c r="B41" s="29" t="s">
        <v>462</v>
      </c>
      <c r="C41" s="114" t="s">
        <v>871</v>
      </c>
      <c r="D41" s="114" t="s">
        <v>872</v>
      </c>
      <c r="E41" s="114" t="s">
        <v>873</v>
      </c>
      <c r="F41" s="114" t="s">
        <v>874</v>
      </c>
      <c r="G41" s="114" t="s">
        <v>875</v>
      </c>
      <c r="H41" s="114" t="s">
        <v>876</v>
      </c>
      <c r="I41" s="115" t="s">
        <v>877</v>
      </c>
      <c r="J41" s="114" t="s">
        <v>878</v>
      </c>
      <c r="K41" s="114" t="s">
        <v>879</v>
      </c>
      <c r="L41" s="114" t="s">
        <v>880</v>
      </c>
      <c r="M41" s="114" t="s">
        <v>881</v>
      </c>
      <c r="N41" s="114" t="s">
        <v>882</v>
      </c>
      <c r="O41" s="114" t="s">
        <v>883</v>
      </c>
      <c r="P41" s="114" t="s">
        <v>884</v>
      </c>
      <c r="Q41" s="114" t="s">
        <v>885</v>
      </c>
      <c r="R41" s="114" t="s">
        <v>886</v>
      </c>
      <c r="S41" s="114" t="s">
        <v>887</v>
      </c>
      <c r="T41" t="s">
        <v>888</v>
      </c>
      <c r="U41" t="s">
        <v>823</v>
      </c>
      <c r="V41" t="s">
        <v>889</v>
      </c>
      <c r="W41" t="s">
        <v>890</v>
      </c>
      <c r="X41" s="30" t="s">
        <v>891</v>
      </c>
      <c r="Y41" s="116" t="s">
        <v>823</v>
      </c>
      <c r="Z41" s="116" t="s">
        <v>889</v>
      </c>
      <c r="AB41" s="30" t="s">
        <v>819</v>
      </c>
      <c r="AC41" t="s">
        <v>892</v>
      </c>
    </row>
    <row r="42" spans="2:29" x14ac:dyDescent="0.25">
      <c r="B42" s="29" t="s">
        <v>451</v>
      </c>
      <c r="C42" s="114" t="s">
        <v>893</v>
      </c>
      <c r="D42" s="114" t="s">
        <v>894</v>
      </c>
      <c r="E42" s="114" t="s">
        <v>895</v>
      </c>
      <c r="F42" s="114" t="s">
        <v>896</v>
      </c>
      <c r="G42" s="114" t="s">
        <v>897</v>
      </c>
      <c r="H42" s="114" t="s">
        <v>898</v>
      </c>
      <c r="I42" s="115" t="s">
        <v>899</v>
      </c>
      <c r="J42" s="114" t="s">
        <v>900</v>
      </c>
      <c r="K42" s="114" t="s">
        <v>901</v>
      </c>
      <c r="L42" s="114" t="s">
        <v>902</v>
      </c>
      <c r="M42" s="114" t="s">
        <v>903</v>
      </c>
      <c r="N42" s="114" t="s">
        <v>904</v>
      </c>
      <c r="O42" s="114" t="s">
        <v>905</v>
      </c>
      <c r="P42" s="114" t="s">
        <v>906</v>
      </c>
      <c r="Q42" s="114" t="s">
        <v>907</v>
      </c>
      <c r="R42" s="114" t="s">
        <v>908</v>
      </c>
      <c r="S42" s="114" t="s">
        <v>909</v>
      </c>
      <c r="T42" t="s">
        <v>910</v>
      </c>
      <c r="U42" t="s">
        <v>799</v>
      </c>
      <c r="V42" t="s">
        <v>911</v>
      </c>
      <c r="W42" t="s">
        <v>912</v>
      </c>
      <c r="X42" s="30" t="s">
        <v>913</v>
      </c>
      <c r="Y42" s="19" t="s">
        <v>799</v>
      </c>
      <c r="Z42" s="19" t="s">
        <v>911</v>
      </c>
      <c r="AB42" s="30" t="s">
        <v>773</v>
      </c>
      <c r="AC42" t="s">
        <v>914</v>
      </c>
    </row>
    <row r="43" spans="2:29" x14ac:dyDescent="0.25">
      <c r="B43" s="29" t="s">
        <v>435</v>
      </c>
      <c r="C43" s="114"/>
      <c r="D43" s="114"/>
      <c r="E43" s="114" t="s">
        <v>915</v>
      </c>
      <c r="F43" s="114" t="s">
        <v>916</v>
      </c>
      <c r="G43" s="114" t="s">
        <v>917</v>
      </c>
      <c r="H43" s="114" t="s">
        <v>918</v>
      </c>
      <c r="I43" s="115" t="s">
        <v>919</v>
      </c>
      <c r="J43" s="114" t="s">
        <v>920</v>
      </c>
      <c r="K43" t="s">
        <v>921</v>
      </c>
      <c r="L43" t="s">
        <v>922</v>
      </c>
      <c r="M43" t="s">
        <v>923</v>
      </c>
      <c r="N43" s="114" t="s">
        <v>924</v>
      </c>
      <c r="O43" s="114" t="s">
        <v>925</v>
      </c>
      <c r="P43" t="s">
        <v>926</v>
      </c>
      <c r="Q43" s="114" t="s">
        <v>927</v>
      </c>
      <c r="R43" s="114" t="s">
        <v>928</v>
      </c>
      <c r="S43" s="114" t="s">
        <v>929</v>
      </c>
      <c r="T43" t="s">
        <v>930</v>
      </c>
      <c r="U43" t="s">
        <v>777</v>
      </c>
      <c r="V43" t="s">
        <v>931</v>
      </c>
      <c r="W43" t="s">
        <v>932</v>
      </c>
      <c r="X43" s="30" t="s">
        <v>933</v>
      </c>
      <c r="Y43" s="116" t="s">
        <v>777</v>
      </c>
      <c r="Z43" s="116" t="s">
        <v>931</v>
      </c>
      <c r="AB43" s="30" t="s">
        <v>749</v>
      </c>
      <c r="AC43" t="s">
        <v>934</v>
      </c>
    </row>
    <row r="44" spans="2:29" x14ac:dyDescent="0.25">
      <c r="B44" s="29" t="s">
        <v>415</v>
      </c>
      <c r="C44" s="114" t="s">
        <v>935</v>
      </c>
      <c r="D44" s="114" t="s">
        <v>936</v>
      </c>
      <c r="E44" s="114" t="s">
        <v>937</v>
      </c>
      <c r="F44" s="114" t="s">
        <v>938</v>
      </c>
      <c r="G44" s="114" t="s">
        <v>939</v>
      </c>
      <c r="H44" s="114" t="s">
        <v>940</v>
      </c>
      <c r="I44" s="115" t="s">
        <v>941</v>
      </c>
      <c r="J44" s="114" t="s">
        <v>942</v>
      </c>
      <c r="K44" s="114" t="s">
        <v>943</v>
      </c>
      <c r="L44" s="114" t="s">
        <v>944</v>
      </c>
      <c r="M44" s="114" t="s">
        <v>945</v>
      </c>
      <c r="N44" s="114" t="s">
        <v>946</v>
      </c>
      <c r="O44" s="114" t="s">
        <v>947</v>
      </c>
      <c r="P44" s="114" t="s">
        <v>948</v>
      </c>
      <c r="Q44" s="114" t="s">
        <v>949</v>
      </c>
      <c r="R44" s="114" t="s">
        <v>950</v>
      </c>
      <c r="S44" s="114" t="s">
        <v>951</v>
      </c>
      <c r="T44" t="s">
        <v>952</v>
      </c>
      <c r="U44" t="s">
        <v>753</v>
      </c>
      <c r="V44" t="s">
        <v>953</v>
      </c>
      <c r="W44" t="s">
        <v>954</v>
      </c>
      <c r="X44" s="30" t="s">
        <v>955</v>
      </c>
      <c r="Y44" s="19" t="s">
        <v>753</v>
      </c>
      <c r="Z44" s="19" t="s">
        <v>953</v>
      </c>
      <c r="AB44" s="30" t="s">
        <v>703</v>
      </c>
      <c r="AC44" t="s">
        <v>956</v>
      </c>
    </row>
    <row r="45" spans="2:29" x14ac:dyDescent="0.25">
      <c r="B45" s="29" t="s">
        <v>400</v>
      </c>
      <c r="C45" s="114" t="s">
        <v>957</v>
      </c>
      <c r="D45" s="114" t="s">
        <v>958</v>
      </c>
      <c r="E45" s="114" t="s">
        <v>959</v>
      </c>
      <c r="F45" s="114" t="s">
        <v>960</v>
      </c>
      <c r="G45" s="114" t="s">
        <v>961</v>
      </c>
      <c r="H45" s="114" t="s">
        <v>962</v>
      </c>
      <c r="I45" s="115" t="s">
        <v>963</v>
      </c>
      <c r="J45" s="114" t="s">
        <v>964</v>
      </c>
      <c r="K45" s="114" t="s">
        <v>965</v>
      </c>
      <c r="L45" s="114" t="s">
        <v>966</v>
      </c>
      <c r="M45" s="114" t="s">
        <v>967</v>
      </c>
      <c r="N45" s="114" t="s">
        <v>968</v>
      </c>
      <c r="O45" s="114" t="s">
        <v>969</v>
      </c>
      <c r="P45" s="114" t="s">
        <v>970</v>
      </c>
      <c r="Q45" s="114" t="s">
        <v>971</v>
      </c>
      <c r="R45" s="114" t="s">
        <v>972</v>
      </c>
      <c r="S45" s="114" t="s">
        <v>973</v>
      </c>
      <c r="T45" t="s">
        <v>974</v>
      </c>
      <c r="U45" t="s">
        <v>729</v>
      </c>
      <c r="V45" t="s">
        <v>975</v>
      </c>
      <c r="W45" t="s">
        <v>976</v>
      </c>
      <c r="X45" s="30" t="s">
        <v>977</v>
      </c>
      <c r="Y45" s="116" t="s">
        <v>729</v>
      </c>
      <c r="Z45" s="116" t="s">
        <v>975</v>
      </c>
      <c r="AB45" s="30" t="s">
        <v>689</v>
      </c>
      <c r="AC45" t="s">
        <v>978</v>
      </c>
    </row>
    <row r="46" spans="2:29" x14ac:dyDescent="0.25">
      <c r="B46" s="29" t="s">
        <v>386</v>
      </c>
      <c r="C46" s="114" t="s">
        <v>979</v>
      </c>
      <c r="D46" s="114" t="s">
        <v>980</v>
      </c>
      <c r="E46" s="114" t="s">
        <v>981</v>
      </c>
      <c r="F46" s="114" t="s">
        <v>982</v>
      </c>
      <c r="G46" s="114"/>
      <c r="H46" s="114" t="s">
        <v>983</v>
      </c>
      <c r="I46" s="115" t="s">
        <v>984</v>
      </c>
      <c r="J46" s="114" t="s">
        <v>985</v>
      </c>
      <c r="K46" s="114" t="s">
        <v>986</v>
      </c>
      <c r="L46" s="114" t="s">
        <v>987</v>
      </c>
      <c r="M46" s="114" t="s">
        <v>988</v>
      </c>
      <c r="N46" s="114" t="s">
        <v>989</v>
      </c>
      <c r="O46" s="114" t="s">
        <v>990</v>
      </c>
      <c r="P46" s="114" t="s">
        <v>991</v>
      </c>
      <c r="Q46" s="114" t="s">
        <v>992</v>
      </c>
      <c r="R46" s="114" t="s">
        <v>993</v>
      </c>
      <c r="S46" s="114" t="s">
        <v>994</v>
      </c>
      <c r="T46" t="s">
        <v>995</v>
      </c>
      <c r="U46" s="30" t="s">
        <v>632</v>
      </c>
      <c r="V46" s="30" t="s">
        <v>996</v>
      </c>
      <c r="W46" s="30" t="s">
        <v>997</v>
      </c>
      <c r="X46" s="30" t="s">
        <v>998</v>
      </c>
      <c r="Y46" s="19" t="s">
        <v>632</v>
      </c>
      <c r="Z46" s="19" t="s">
        <v>996</v>
      </c>
      <c r="AB46" s="30" t="s">
        <v>674</v>
      </c>
      <c r="AC46" t="s">
        <v>999</v>
      </c>
    </row>
    <row r="48" spans="2:29" x14ac:dyDescent="0.25">
      <c r="Z48" t="s">
        <v>1000</v>
      </c>
      <c r="AA48" t="s">
        <v>996</v>
      </c>
      <c r="AB48" t="s">
        <v>1001</v>
      </c>
    </row>
    <row r="49" spans="26:28" x14ac:dyDescent="0.25">
      <c r="Z49" t="s">
        <v>1000</v>
      </c>
      <c r="AA49" t="s">
        <v>796</v>
      </c>
      <c r="AB49" t="s">
        <v>1002</v>
      </c>
    </row>
    <row r="50" spans="26:28" x14ac:dyDescent="0.25">
      <c r="Z50" t="s">
        <v>1000</v>
      </c>
      <c r="AA50" t="s">
        <v>726</v>
      </c>
      <c r="AB50" t="s">
        <v>1003</v>
      </c>
    </row>
    <row r="51" spans="26:28" x14ac:dyDescent="0.25">
      <c r="Z51" t="s">
        <v>1000</v>
      </c>
      <c r="AA51" t="s">
        <v>651</v>
      </c>
      <c r="AB51" t="s">
        <v>1004</v>
      </c>
    </row>
    <row r="52" spans="26:28" x14ac:dyDescent="0.25">
      <c r="Z52" t="s">
        <v>1000</v>
      </c>
      <c r="AA52" t="s">
        <v>629</v>
      </c>
      <c r="AB52" t="s">
        <v>1005</v>
      </c>
    </row>
    <row r="53" spans="26:28" x14ac:dyDescent="0.25">
      <c r="Z53" t="s">
        <v>1000</v>
      </c>
      <c r="AA53" t="s">
        <v>975</v>
      </c>
      <c r="AB53" t="s">
        <v>1006</v>
      </c>
    </row>
    <row r="54" spans="26:28" x14ac:dyDescent="0.25">
      <c r="Z54" t="s">
        <v>1000</v>
      </c>
      <c r="AA54" t="s">
        <v>953</v>
      </c>
      <c r="AB54" t="s">
        <v>1007</v>
      </c>
    </row>
    <row r="55" spans="26:28" x14ac:dyDescent="0.25">
      <c r="Z55" t="s">
        <v>1000</v>
      </c>
      <c r="AA55" t="s">
        <v>931</v>
      </c>
      <c r="AB55" t="s">
        <v>1008</v>
      </c>
    </row>
    <row r="56" spans="26:28" x14ac:dyDescent="0.25">
      <c r="Z56" t="s">
        <v>1000</v>
      </c>
      <c r="AA56" t="s">
        <v>911</v>
      </c>
      <c r="AB56" t="s">
        <v>1009</v>
      </c>
    </row>
    <row r="57" spans="26:28" x14ac:dyDescent="0.25">
      <c r="Z57" t="s">
        <v>1000</v>
      </c>
      <c r="AA57" t="s">
        <v>889</v>
      </c>
      <c r="AB57" t="s">
        <v>1010</v>
      </c>
    </row>
    <row r="58" spans="26:28" x14ac:dyDescent="0.25">
      <c r="Z58" t="s">
        <v>1000</v>
      </c>
      <c r="AA58" t="s">
        <v>867</v>
      </c>
      <c r="AB58" t="s">
        <v>1011</v>
      </c>
    </row>
    <row r="59" spans="26:28" x14ac:dyDescent="0.25">
      <c r="Z59" t="s">
        <v>1000</v>
      </c>
      <c r="AA59" t="s">
        <v>844</v>
      </c>
      <c r="AB59" t="s">
        <v>1012</v>
      </c>
    </row>
    <row r="60" spans="26:28" x14ac:dyDescent="0.25">
      <c r="Z60" t="s">
        <v>1000</v>
      </c>
      <c r="AA60" t="s">
        <v>820</v>
      </c>
      <c r="AB60" t="s">
        <v>1013</v>
      </c>
    </row>
    <row r="61" spans="26:28" x14ac:dyDescent="0.25">
      <c r="Z61" t="s">
        <v>1000</v>
      </c>
      <c r="AA61" t="s">
        <v>774</v>
      </c>
      <c r="AB61" t="s">
        <v>1014</v>
      </c>
    </row>
    <row r="62" spans="26:28" x14ac:dyDescent="0.25">
      <c r="Z62" t="s">
        <v>1000</v>
      </c>
      <c r="AA62" t="s">
        <v>750</v>
      </c>
      <c r="AB62" t="s">
        <v>1015</v>
      </c>
    </row>
    <row r="63" spans="26:28" x14ac:dyDescent="0.25">
      <c r="Z63" t="s">
        <v>1000</v>
      </c>
      <c r="AA63" t="s">
        <v>704</v>
      </c>
      <c r="AB63" t="s">
        <v>1016</v>
      </c>
    </row>
    <row r="64" spans="26:28" x14ac:dyDescent="0.25">
      <c r="Z64" t="s">
        <v>1000</v>
      </c>
      <c r="AA64" t="s">
        <v>690</v>
      </c>
      <c r="AB64" t="s">
        <v>1017</v>
      </c>
    </row>
    <row r="65" spans="26:28" x14ac:dyDescent="0.25">
      <c r="Z65" t="s">
        <v>1000</v>
      </c>
      <c r="AA65" t="s">
        <v>675</v>
      </c>
      <c r="AB65" t="s">
        <v>1018</v>
      </c>
    </row>
    <row r="66" spans="26:28" x14ac:dyDescent="0.25">
      <c r="Z66" t="s">
        <v>1000</v>
      </c>
      <c r="AA66" t="s">
        <v>1019</v>
      </c>
      <c r="AB66" t="s">
        <v>1020</v>
      </c>
    </row>
    <row r="67" spans="26:28" x14ac:dyDescent="0.25">
      <c r="Z67" t="s">
        <v>1000</v>
      </c>
      <c r="AA67" t="s">
        <v>1021</v>
      </c>
      <c r="AB67" t="s">
        <v>1022</v>
      </c>
    </row>
  </sheetData>
  <protectedRanges>
    <protectedRange password="C9EF" sqref="I29:I46" name="Intervalo1"/>
  </protectedRanges>
  <mergeCells count="5">
    <mergeCell ref="AL3:AO3"/>
    <mergeCell ref="AL4:AM4"/>
    <mergeCell ref="AN4:AO4"/>
    <mergeCell ref="AU4:AW4"/>
    <mergeCell ref="AS3:AX3"/>
  </mergeCells>
  <phoneticPr fontId="7" type="noConversion"/>
  <pageMargins left="0.511811024" right="0.511811024" top="0.78740157499999996" bottom="0.78740157499999996" header="0.31496062000000002" footer="0.31496062000000002"/>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1"/>
  <dimension ref="B1:AF125"/>
  <sheetViews>
    <sheetView topLeftCell="A92" zoomScaleNormal="100" workbookViewId="0">
      <selection activeCell="D105" sqref="D105"/>
    </sheetView>
  </sheetViews>
  <sheetFormatPr defaultColWidth="9.109375" defaultRowHeight="14.4" x14ac:dyDescent="0.3"/>
  <cols>
    <col min="1" max="1" width="4.33203125" style="160" customWidth="1"/>
    <col min="2" max="3" width="9.109375" style="160"/>
    <col min="4" max="4" width="9.109375" style="160" customWidth="1"/>
    <col min="5" max="10" width="9.109375" style="160"/>
    <col min="11" max="11" width="4.33203125" style="160" customWidth="1"/>
    <col min="12" max="12" width="1.44140625" style="160" customWidth="1"/>
    <col min="13" max="13" width="9.109375" style="161"/>
    <col min="14" max="17" width="9.109375" style="161" customWidth="1"/>
    <col min="18" max="21" width="9.109375" style="161"/>
    <col min="22" max="16384" width="9.109375" style="160"/>
  </cols>
  <sheetData>
    <row r="1" spans="2:12" ht="7.5" customHeight="1" x14ac:dyDescent="0.3"/>
    <row r="2" spans="2:12" x14ac:dyDescent="0.3">
      <c r="B2" s="569" t="s">
        <v>1023</v>
      </c>
      <c r="C2" s="569"/>
      <c r="D2" s="569"/>
      <c r="E2" s="569"/>
      <c r="F2" s="569"/>
      <c r="G2" s="569"/>
      <c r="H2" s="569"/>
      <c r="I2" s="569"/>
      <c r="J2" s="569"/>
    </row>
    <row r="4" spans="2:12" x14ac:dyDescent="0.3">
      <c r="B4" s="564" t="s">
        <v>1024</v>
      </c>
      <c r="C4" s="564"/>
      <c r="D4" s="564"/>
      <c r="E4" s="564"/>
      <c r="F4" s="564"/>
      <c r="G4" s="564"/>
      <c r="H4" s="564"/>
      <c r="I4" s="564"/>
      <c r="J4" s="564"/>
    </row>
    <row r="5" spans="2:12" ht="15" customHeight="1" x14ac:dyDescent="0.3">
      <c r="B5" s="568" t="s">
        <v>1025</v>
      </c>
      <c r="C5" s="568"/>
      <c r="D5" s="568"/>
      <c r="E5" s="568"/>
      <c r="F5" s="568"/>
      <c r="G5" s="568"/>
      <c r="H5" s="568"/>
      <c r="I5" s="568"/>
      <c r="J5" s="568"/>
    </row>
    <row r="6" spans="2:12" x14ac:dyDescent="0.3">
      <c r="B6" s="568"/>
      <c r="C6" s="568"/>
      <c r="D6" s="568"/>
      <c r="E6" s="568"/>
      <c r="F6" s="568"/>
      <c r="G6" s="568"/>
      <c r="H6" s="568"/>
      <c r="I6" s="568"/>
      <c r="J6" s="568"/>
    </row>
    <row r="7" spans="2:12" x14ac:dyDescent="0.3">
      <c r="B7" s="568"/>
      <c r="C7" s="568"/>
      <c r="D7" s="568"/>
      <c r="E7" s="568"/>
      <c r="F7" s="568"/>
      <c r="G7" s="568"/>
      <c r="H7" s="568"/>
      <c r="I7" s="568"/>
      <c r="J7" s="568"/>
    </row>
    <row r="8" spans="2:12" x14ac:dyDescent="0.3">
      <c r="B8" s="568"/>
      <c r="C8" s="568"/>
      <c r="D8" s="568"/>
      <c r="E8" s="568"/>
      <c r="F8" s="568"/>
      <c r="G8" s="568"/>
      <c r="H8" s="568"/>
      <c r="I8" s="568"/>
      <c r="J8" s="568"/>
    </row>
    <row r="9" spans="2:12" x14ac:dyDescent="0.3">
      <c r="B9" s="568"/>
      <c r="C9" s="568"/>
      <c r="D9" s="568"/>
      <c r="E9" s="568"/>
      <c r="F9" s="568"/>
      <c r="G9" s="568"/>
      <c r="H9" s="568"/>
      <c r="I9" s="568"/>
      <c r="J9" s="568"/>
    </row>
    <row r="10" spans="2:12" x14ac:dyDescent="0.3">
      <c r="B10" s="568"/>
      <c r="C10" s="568"/>
      <c r="D10" s="568"/>
      <c r="E10" s="568"/>
      <c r="F10" s="568"/>
      <c r="G10" s="568"/>
      <c r="H10" s="568"/>
      <c r="I10" s="568"/>
      <c r="J10" s="568"/>
    </row>
    <row r="11" spans="2:12" x14ac:dyDescent="0.3">
      <c r="B11" s="568"/>
      <c r="C11" s="568"/>
      <c r="D11" s="568"/>
      <c r="E11" s="568"/>
      <c r="F11" s="568"/>
      <c r="G11" s="568"/>
      <c r="H11" s="568"/>
      <c r="I11" s="568"/>
      <c r="J11" s="568"/>
    </row>
    <row r="12" spans="2:12" x14ac:dyDescent="0.3">
      <c r="B12" s="568"/>
      <c r="C12" s="568"/>
      <c r="D12" s="568"/>
      <c r="E12" s="568"/>
      <c r="F12" s="568"/>
      <c r="G12" s="568"/>
      <c r="H12" s="568"/>
      <c r="I12" s="568"/>
      <c r="J12" s="568"/>
    </row>
    <row r="13" spans="2:12" x14ac:dyDescent="0.3">
      <c r="B13" s="568"/>
      <c r="C13" s="568"/>
      <c r="D13" s="568"/>
      <c r="E13" s="568"/>
      <c r="F13" s="568"/>
      <c r="G13" s="568"/>
      <c r="H13" s="568"/>
      <c r="I13" s="568"/>
      <c r="J13" s="568"/>
    </row>
    <row r="15" spans="2:12" x14ac:dyDescent="0.3">
      <c r="B15" s="564" t="s">
        <v>1026</v>
      </c>
      <c r="C15" s="564"/>
      <c r="D15" s="564"/>
      <c r="E15" s="564"/>
      <c r="F15" s="564"/>
      <c r="G15" s="564"/>
      <c r="H15" s="564"/>
      <c r="I15" s="564"/>
      <c r="J15" s="564"/>
    </row>
    <row r="16" spans="2:12" ht="15" customHeight="1" x14ac:dyDescent="0.3">
      <c r="B16" s="568" t="s">
        <v>1027</v>
      </c>
      <c r="C16" s="568"/>
      <c r="D16" s="568"/>
      <c r="E16" s="568"/>
      <c r="F16" s="568"/>
      <c r="G16" s="568"/>
      <c r="H16" s="568"/>
      <c r="I16" s="568"/>
      <c r="J16" s="568"/>
      <c r="K16" s="162"/>
      <c r="L16" s="162"/>
    </row>
    <row r="17" spans="2:32" x14ac:dyDescent="0.3">
      <c r="B17" s="568"/>
      <c r="C17" s="568"/>
      <c r="D17" s="568"/>
      <c r="E17" s="568"/>
      <c r="F17" s="568"/>
      <c r="G17" s="568"/>
      <c r="H17" s="568"/>
      <c r="I17" s="568"/>
      <c r="J17" s="568"/>
      <c r="K17" s="162"/>
      <c r="L17" s="162"/>
    </row>
    <row r="18" spans="2:32" x14ac:dyDescent="0.3">
      <c r="B18" s="162"/>
      <c r="C18" s="162"/>
      <c r="D18" s="162"/>
      <c r="E18" s="162"/>
      <c r="F18" s="162"/>
      <c r="G18" s="162"/>
      <c r="H18" s="162"/>
      <c r="I18" s="162"/>
      <c r="J18" s="162"/>
      <c r="K18" s="162"/>
      <c r="L18" s="162"/>
    </row>
    <row r="19" spans="2:32" x14ac:dyDescent="0.3">
      <c r="B19" s="564" t="s">
        <v>1028</v>
      </c>
      <c r="C19" s="564"/>
      <c r="D19" s="564"/>
      <c r="E19" s="564"/>
      <c r="F19" s="564"/>
      <c r="G19" s="564"/>
      <c r="H19" s="564"/>
      <c r="I19" s="564"/>
      <c r="J19" s="564"/>
    </row>
    <row r="20" spans="2:32" ht="15" customHeight="1" x14ac:dyDescent="0.3">
      <c r="B20" s="568" t="s">
        <v>1029</v>
      </c>
      <c r="C20" s="568"/>
      <c r="D20" s="568"/>
      <c r="E20" s="568"/>
      <c r="F20" s="568"/>
      <c r="G20" s="568"/>
      <c r="H20" s="568"/>
      <c r="I20" s="568"/>
      <c r="J20" s="568"/>
    </row>
    <row r="21" spans="2:32" x14ac:dyDescent="0.3">
      <c r="B21" s="568"/>
      <c r="C21" s="568"/>
      <c r="D21" s="568"/>
      <c r="E21" s="568"/>
      <c r="F21" s="568"/>
      <c r="G21" s="568"/>
      <c r="H21" s="568"/>
      <c r="I21" s="568"/>
      <c r="J21" s="568"/>
    </row>
    <row r="22" spans="2:32" x14ac:dyDescent="0.3">
      <c r="B22" s="568"/>
      <c r="C22" s="568"/>
      <c r="D22" s="568"/>
      <c r="E22" s="568"/>
      <c r="F22" s="568"/>
      <c r="G22" s="568"/>
      <c r="H22" s="568"/>
      <c r="I22" s="568"/>
      <c r="J22" s="568"/>
    </row>
    <row r="23" spans="2:32" x14ac:dyDescent="0.3">
      <c r="B23" s="568"/>
      <c r="C23" s="568"/>
      <c r="D23" s="568"/>
      <c r="E23" s="568"/>
      <c r="F23" s="568"/>
      <c r="G23" s="568"/>
      <c r="H23" s="568"/>
      <c r="I23" s="568"/>
      <c r="J23" s="568"/>
    </row>
    <row r="24" spans="2:32" x14ac:dyDescent="0.3">
      <c r="B24" s="568"/>
      <c r="C24" s="568"/>
      <c r="D24" s="568"/>
      <c r="E24" s="568"/>
      <c r="F24" s="568"/>
      <c r="G24" s="568"/>
      <c r="H24" s="568"/>
      <c r="I24" s="568"/>
      <c r="J24" s="568"/>
    </row>
    <row r="25" spans="2:32" x14ac:dyDescent="0.3">
      <c r="B25" s="568"/>
      <c r="C25" s="568"/>
      <c r="D25" s="568"/>
      <c r="E25" s="568"/>
      <c r="F25" s="568"/>
      <c r="G25" s="568"/>
      <c r="H25" s="568"/>
      <c r="I25" s="568"/>
      <c r="J25" s="568"/>
      <c r="N25" s="163"/>
      <c r="O25" s="163"/>
      <c r="P25" s="163"/>
      <c r="Q25" s="163"/>
      <c r="R25" s="163"/>
      <c r="S25" s="163"/>
      <c r="T25" s="163"/>
      <c r="U25" s="163"/>
      <c r="V25" s="164"/>
      <c r="W25" s="164"/>
      <c r="X25" s="164"/>
      <c r="Y25" s="164"/>
      <c r="Z25" s="164"/>
      <c r="AA25" s="164"/>
      <c r="AB25" s="164"/>
      <c r="AC25" s="164"/>
      <c r="AD25" s="164"/>
      <c r="AE25" s="164"/>
      <c r="AF25" s="164"/>
    </row>
    <row r="26" spans="2:32" x14ac:dyDescent="0.3">
      <c r="B26" s="568"/>
      <c r="C26" s="568"/>
      <c r="D26" s="568"/>
      <c r="E26" s="568"/>
      <c r="F26" s="568"/>
      <c r="G26" s="568"/>
      <c r="H26" s="568"/>
      <c r="I26" s="568"/>
      <c r="J26" s="568"/>
      <c r="N26" s="163"/>
      <c r="O26" s="163"/>
      <c r="P26" s="163"/>
      <c r="Q26" s="163"/>
      <c r="R26" s="163"/>
      <c r="S26" s="163"/>
      <c r="T26" s="163"/>
      <c r="U26" s="163"/>
      <c r="V26" s="164"/>
      <c r="W26" s="164"/>
      <c r="X26" s="164"/>
      <c r="Y26" s="164"/>
      <c r="Z26" s="164"/>
      <c r="AA26" s="164"/>
      <c r="AB26" s="164"/>
      <c r="AC26" s="164"/>
      <c r="AD26" s="164"/>
      <c r="AE26" s="164"/>
      <c r="AF26" s="164"/>
    </row>
    <row r="27" spans="2:32" x14ac:dyDescent="0.3">
      <c r="B27" s="568"/>
      <c r="C27" s="568"/>
      <c r="D27" s="568"/>
      <c r="E27" s="568"/>
      <c r="F27" s="568"/>
      <c r="G27" s="568"/>
      <c r="H27" s="568"/>
      <c r="I27" s="568"/>
      <c r="J27" s="568"/>
      <c r="N27" s="163"/>
      <c r="O27" s="163"/>
      <c r="P27" s="163"/>
      <c r="Q27" s="163"/>
      <c r="R27" s="163"/>
      <c r="S27" s="163"/>
      <c r="T27" s="163"/>
      <c r="U27" s="163"/>
      <c r="V27" s="164"/>
      <c r="W27" s="164"/>
      <c r="X27" s="164"/>
      <c r="Y27" s="164"/>
      <c r="Z27" s="164"/>
      <c r="AA27" s="164"/>
      <c r="AB27" s="164"/>
      <c r="AC27" s="164"/>
      <c r="AD27" s="164"/>
      <c r="AE27" s="164"/>
      <c r="AF27" s="164"/>
    </row>
    <row r="28" spans="2:32" x14ac:dyDescent="0.3">
      <c r="B28" s="568"/>
      <c r="C28" s="568"/>
      <c r="D28" s="568"/>
      <c r="E28" s="568"/>
      <c r="F28" s="568"/>
      <c r="G28" s="568"/>
      <c r="H28" s="568"/>
      <c r="I28" s="568"/>
      <c r="J28" s="568"/>
      <c r="N28" s="163"/>
      <c r="O28" s="163"/>
      <c r="P28" s="163"/>
      <c r="Q28" s="163"/>
      <c r="R28" s="163"/>
      <c r="S28" s="163"/>
      <c r="T28" s="163"/>
      <c r="U28" s="163"/>
      <c r="V28" s="164"/>
      <c r="W28" s="164"/>
      <c r="X28" s="164"/>
      <c r="Y28" s="164"/>
      <c r="Z28" s="164"/>
      <c r="AA28" s="164"/>
      <c r="AB28" s="164"/>
      <c r="AC28" s="164"/>
      <c r="AD28" s="164"/>
      <c r="AE28" s="164"/>
      <c r="AF28" s="164"/>
    </row>
    <row r="29" spans="2:32" x14ac:dyDescent="0.3">
      <c r="B29" s="564" t="s">
        <v>1030</v>
      </c>
      <c r="C29" s="564"/>
      <c r="D29" s="564"/>
      <c r="E29" s="564"/>
      <c r="F29" s="564"/>
      <c r="G29" s="564"/>
      <c r="H29" s="564"/>
      <c r="I29" s="564"/>
      <c r="J29" s="564"/>
      <c r="N29" s="163"/>
      <c r="O29" s="163"/>
      <c r="P29" s="163"/>
      <c r="Q29" s="163"/>
      <c r="R29" s="163"/>
      <c r="S29" s="163"/>
      <c r="T29" s="163"/>
      <c r="U29" s="163"/>
      <c r="V29" s="164"/>
      <c r="W29" s="164"/>
      <c r="X29" s="164"/>
      <c r="Y29" s="164"/>
      <c r="Z29" s="164"/>
      <c r="AA29" s="164"/>
      <c r="AB29" s="164"/>
      <c r="AC29" s="164"/>
      <c r="AD29" s="164"/>
      <c r="AE29" s="164"/>
      <c r="AF29" s="164"/>
    </row>
    <row r="30" spans="2:32" x14ac:dyDescent="0.3">
      <c r="B30" s="568" t="s">
        <v>1031</v>
      </c>
      <c r="C30" s="568"/>
      <c r="D30" s="568"/>
      <c r="E30" s="568"/>
      <c r="F30" s="568"/>
      <c r="G30" s="568"/>
      <c r="H30" s="568"/>
      <c r="I30" s="568"/>
      <c r="J30" s="568"/>
      <c r="N30" s="163"/>
      <c r="O30" s="163"/>
      <c r="P30" s="163"/>
      <c r="Q30" s="163"/>
      <c r="R30" s="163"/>
      <c r="S30" s="163"/>
      <c r="T30" s="163"/>
      <c r="U30" s="163"/>
      <c r="V30" s="164"/>
      <c r="W30" s="164"/>
      <c r="X30" s="164"/>
      <c r="Y30" s="164"/>
      <c r="Z30" s="164"/>
      <c r="AA30" s="164"/>
      <c r="AB30" s="164"/>
      <c r="AC30" s="164"/>
      <c r="AD30" s="164"/>
      <c r="AE30" s="164"/>
      <c r="AF30" s="164"/>
    </row>
    <row r="31" spans="2:32" x14ac:dyDescent="0.3">
      <c r="B31" s="568"/>
      <c r="C31" s="568"/>
      <c r="D31" s="568"/>
      <c r="E31" s="568"/>
      <c r="F31" s="568"/>
      <c r="G31" s="568"/>
      <c r="H31" s="568"/>
      <c r="I31" s="568"/>
      <c r="J31" s="568"/>
      <c r="N31" s="163"/>
      <c r="O31" s="163"/>
      <c r="P31" s="163"/>
      <c r="Q31" s="163"/>
      <c r="R31" s="163"/>
      <c r="S31" s="163"/>
      <c r="T31" s="163"/>
      <c r="U31" s="163"/>
      <c r="V31" s="164"/>
      <c r="W31" s="164"/>
      <c r="AF31" s="164"/>
    </row>
    <row r="32" spans="2:32" x14ac:dyDescent="0.3">
      <c r="N32" s="163"/>
      <c r="O32" s="163"/>
      <c r="P32" s="163"/>
      <c r="Q32" s="163"/>
      <c r="R32" s="163"/>
      <c r="S32" s="163"/>
      <c r="AF32" s="163"/>
    </row>
    <row r="33" spans="2:32" x14ac:dyDescent="0.3">
      <c r="AF33" s="165"/>
    </row>
    <row r="34" spans="2:32" x14ac:dyDescent="0.3">
      <c r="J34" s="160" t="s">
        <v>1032</v>
      </c>
      <c r="AF34" s="163"/>
    </row>
    <row r="35" spans="2:32" x14ac:dyDescent="0.3">
      <c r="B35" s="568" t="s">
        <v>1033</v>
      </c>
      <c r="C35" s="568"/>
      <c r="D35" s="568"/>
      <c r="E35" s="568"/>
      <c r="F35" s="568"/>
      <c r="G35" s="568"/>
      <c r="H35" s="568"/>
      <c r="I35" s="568"/>
      <c r="J35" s="568"/>
      <c r="AF35" s="165"/>
    </row>
    <row r="36" spans="2:32" x14ac:dyDescent="0.3">
      <c r="B36" s="568"/>
      <c r="C36" s="568"/>
      <c r="D36" s="568"/>
      <c r="E36" s="568"/>
      <c r="F36" s="568"/>
      <c r="G36" s="568"/>
      <c r="H36" s="568"/>
      <c r="I36" s="568"/>
      <c r="J36" s="568"/>
      <c r="AF36" s="164"/>
    </row>
    <row r="37" spans="2:32" x14ac:dyDescent="0.3">
      <c r="AF37" s="164"/>
    </row>
    <row r="38" spans="2:32" x14ac:dyDescent="0.3">
      <c r="D38" s="570" t="s">
        <v>1034</v>
      </c>
      <c r="E38" s="570"/>
      <c r="F38" s="570"/>
      <c r="G38" s="570"/>
      <c r="H38" s="570"/>
      <c r="I38" s="166"/>
      <c r="M38" s="572" t="s">
        <v>1035</v>
      </c>
      <c r="N38" s="572"/>
      <c r="O38" s="572"/>
      <c r="P38" s="572"/>
      <c r="AF38" s="164"/>
    </row>
    <row r="39" spans="2:32" ht="15" customHeight="1" x14ac:dyDescent="0.35">
      <c r="D39" s="167" t="s">
        <v>1036</v>
      </c>
      <c r="E39" s="571" t="s">
        <v>1037</v>
      </c>
      <c r="F39" s="571"/>
      <c r="G39" s="571" t="s">
        <v>1038</v>
      </c>
      <c r="H39" s="571"/>
      <c r="M39" s="168"/>
      <c r="N39" s="169" t="s">
        <v>1039</v>
      </c>
      <c r="O39" s="168"/>
      <c r="P39" s="169" t="s">
        <v>1040</v>
      </c>
      <c r="AF39" s="164"/>
    </row>
    <row r="40" spans="2:32" x14ac:dyDescent="0.3">
      <c r="D40" s="170">
        <v>0</v>
      </c>
      <c r="E40" s="566">
        <v>4.6592500000000001</v>
      </c>
      <c r="F40" s="566"/>
      <c r="G40" s="566">
        <v>46.735100000000003</v>
      </c>
      <c r="H40" s="566"/>
      <c r="I40" s="171"/>
      <c r="N40" s="172">
        <f t="shared" ref="N40:N47" si="0">E40*$C$105^$D40</f>
        <v>4.6592500000000001</v>
      </c>
      <c r="P40" s="173">
        <f t="shared" ref="P40:P47" si="1">G40*$C$105^$D40</f>
        <v>46.735100000000003</v>
      </c>
      <c r="AF40" s="164"/>
    </row>
    <row r="41" spans="2:32" x14ac:dyDescent="0.3">
      <c r="D41" s="170">
        <v>1</v>
      </c>
      <c r="E41" s="566">
        <v>0.33780199999999999</v>
      </c>
      <c r="F41" s="566"/>
      <c r="G41" s="566">
        <v>4.6001899999999996</v>
      </c>
      <c r="H41" s="566"/>
      <c r="I41" s="171"/>
      <c r="N41" s="172">
        <f t="shared" si="0"/>
        <v>32.817375081096841</v>
      </c>
      <c r="P41" s="173">
        <f t="shared" si="1"/>
        <v>446.90724351635242</v>
      </c>
      <c r="AF41" s="164"/>
    </row>
    <row r="42" spans="2:32" x14ac:dyDescent="0.3">
      <c r="D42" s="170">
        <v>2</v>
      </c>
      <c r="E42" s="566">
        <v>1.1142600000000001E-2</v>
      </c>
      <c r="F42" s="566"/>
      <c r="G42" s="566">
        <v>8.6838699999999998E-3</v>
      </c>
      <c r="H42" s="566"/>
      <c r="I42" s="171"/>
      <c r="N42" s="172">
        <f t="shared" si="0"/>
        <v>105.16465195630423</v>
      </c>
      <c r="P42" s="173">
        <f t="shared" si="1"/>
        <v>81.958983198157654</v>
      </c>
      <c r="T42" s="163"/>
      <c r="U42" s="163"/>
      <c r="V42" s="164"/>
      <c r="W42" s="164"/>
      <c r="AF42" s="164"/>
    </row>
    <row r="43" spans="2:32" x14ac:dyDescent="0.3">
      <c r="D43" s="170">
        <v>3</v>
      </c>
      <c r="E43" s="566">
        <v>2.04372E-4</v>
      </c>
      <c r="F43" s="566"/>
      <c r="G43" s="566">
        <v>-4.6571900000000003E-3</v>
      </c>
      <c r="H43" s="566"/>
      <c r="I43" s="171"/>
      <c r="N43" s="172">
        <f t="shared" si="0"/>
        <v>187.38993809182324</v>
      </c>
      <c r="P43" s="173">
        <f t="shared" si="1"/>
        <v>-4270.2060251984531</v>
      </c>
    </row>
    <row r="44" spans="2:32" x14ac:dyDescent="0.3">
      <c r="D44" s="170">
        <v>4</v>
      </c>
      <c r="E44" s="566">
        <v>1.9102099999999998E-6</v>
      </c>
      <c r="F44" s="566"/>
      <c r="G44" s="566">
        <v>9.3278900000000006E-5</v>
      </c>
      <c r="H44" s="566"/>
      <c r="I44" s="171"/>
      <c r="N44" s="172">
        <f t="shared" si="0"/>
        <v>170.15613460725478</v>
      </c>
      <c r="P44" s="173">
        <f t="shared" si="1"/>
        <v>8309.0220784189496</v>
      </c>
    </row>
    <row r="45" spans="2:32" x14ac:dyDescent="0.3">
      <c r="D45" s="170">
        <v>5</v>
      </c>
      <c r="E45" s="566">
        <v>1.5627499999999999E-8</v>
      </c>
      <c r="F45" s="566"/>
      <c r="G45" s="566">
        <v>2.0603099999999998E-6</v>
      </c>
      <c r="H45" s="566"/>
      <c r="I45" s="171"/>
      <c r="N45" s="172">
        <f t="shared" si="0"/>
        <v>135.2376541380587</v>
      </c>
      <c r="P45" s="173">
        <f t="shared" si="1"/>
        <v>17829.562706586705</v>
      </c>
    </row>
    <row r="46" spans="2:32" x14ac:dyDescent="0.3">
      <c r="D46" s="170">
        <v>6</v>
      </c>
      <c r="E46" s="566">
        <v>1.9904599999999999E-10</v>
      </c>
      <c r="F46" s="566"/>
      <c r="G46" s="566">
        <v>-4.7894300000000002E-8</v>
      </c>
      <c r="H46" s="566"/>
      <c r="I46" s="171"/>
      <c r="N46" s="172">
        <f t="shared" si="0"/>
        <v>167.34132367595979</v>
      </c>
      <c r="P46" s="173">
        <f t="shared" si="1"/>
        <v>-40265.544439644713</v>
      </c>
    </row>
    <row r="47" spans="2:32" x14ac:dyDescent="0.3">
      <c r="D47" s="174">
        <v>7</v>
      </c>
      <c r="E47" s="567">
        <v>-1.23039E-12</v>
      </c>
      <c r="F47" s="567"/>
      <c r="G47" s="567">
        <v>2.3753700000000001E-10</v>
      </c>
      <c r="H47" s="567"/>
      <c r="I47" s="171"/>
      <c r="M47" s="175"/>
      <c r="N47" s="176">
        <f t="shared" si="0"/>
        <v>-100.49261845782974</v>
      </c>
      <c r="O47" s="175"/>
      <c r="P47" s="176">
        <f t="shared" si="1"/>
        <v>19400.933940147028</v>
      </c>
    </row>
    <row r="48" spans="2:32" x14ac:dyDescent="0.3">
      <c r="M48" s="177" t="s">
        <v>1041</v>
      </c>
      <c r="N48" s="178">
        <f>SUM(N40:N47)</f>
        <v>702.27370909266779</v>
      </c>
      <c r="O48" s="177" t="s">
        <v>1042</v>
      </c>
      <c r="P48" s="178">
        <f>SUM(P40:P47)</f>
        <v>1579.3695870240263</v>
      </c>
    </row>
    <row r="49" spans="2:20" ht="15" customHeight="1" x14ac:dyDescent="0.3">
      <c r="B49" s="568" t="s">
        <v>1043</v>
      </c>
      <c r="C49" s="568"/>
      <c r="D49" s="568"/>
      <c r="E49" s="568"/>
      <c r="F49" s="568"/>
      <c r="G49" s="568"/>
      <c r="H49" s="568"/>
      <c r="I49" s="568"/>
      <c r="J49" s="568"/>
    </row>
    <row r="50" spans="2:20" x14ac:dyDescent="0.3">
      <c r="B50" s="568"/>
      <c r="C50" s="568"/>
      <c r="D50" s="568"/>
      <c r="E50" s="568"/>
      <c r="F50" s="568"/>
      <c r="G50" s="568"/>
      <c r="H50" s="568"/>
      <c r="I50" s="568"/>
      <c r="J50" s="568"/>
    </row>
    <row r="51" spans="2:20" ht="7.5" customHeight="1" x14ac:dyDescent="0.3"/>
    <row r="52" spans="2:20" ht="7.5" customHeight="1" x14ac:dyDescent="0.3"/>
    <row r="54" spans="2:20" x14ac:dyDescent="0.3">
      <c r="J54" s="179"/>
      <c r="M54" s="180" t="s">
        <v>1044</v>
      </c>
      <c r="N54" s="181">
        <f>(1/18.015)*(8.314472*288.15/101325)*(1/1000)</f>
        <v>1.3125093930894416E-6</v>
      </c>
    </row>
    <row r="55" spans="2:20" x14ac:dyDescent="0.3">
      <c r="J55" s="179" t="s">
        <v>1045</v>
      </c>
      <c r="M55" s="180" t="s">
        <v>1046</v>
      </c>
      <c r="N55" s="182">
        <f>1/N54</f>
        <v>761899.30926601333</v>
      </c>
    </row>
    <row r="56" spans="2:20" x14ac:dyDescent="0.3">
      <c r="J56" s="179"/>
      <c r="M56" s="163"/>
      <c r="N56" s="163"/>
      <c r="O56" s="163"/>
      <c r="P56" s="163"/>
      <c r="Q56" s="163"/>
      <c r="R56" s="163"/>
      <c r="S56" s="163"/>
      <c r="T56" s="163"/>
    </row>
    <row r="57" spans="2:20" x14ac:dyDescent="0.3">
      <c r="N57" s="180"/>
      <c r="O57" s="163"/>
      <c r="P57" s="163"/>
      <c r="Q57" s="183"/>
      <c r="R57" s="163"/>
      <c r="S57" s="163"/>
      <c r="T57" s="183"/>
    </row>
    <row r="58" spans="2:20" x14ac:dyDescent="0.3">
      <c r="J58" s="179" t="s">
        <v>1047</v>
      </c>
      <c r="O58" s="163"/>
      <c r="P58" s="163"/>
      <c r="Q58" s="163"/>
      <c r="R58" s="163"/>
      <c r="S58" s="184"/>
      <c r="T58" s="185"/>
    </row>
    <row r="59" spans="2:20" x14ac:dyDescent="0.3">
      <c r="O59" s="163"/>
      <c r="P59" s="184"/>
      <c r="Q59" s="163"/>
      <c r="R59" s="163"/>
      <c r="S59" s="184"/>
      <c r="T59" s="185"/>
    </row>
    <row r="60" spans="2:20" ht="15" customHeight="1" x14ac:dyDescent="0.3">
      <c r="B60" s="568" t="s">
        <v>1048</v>
      </c>
      <c r="C60" s="568"/>
      <c r="D60" s="568"/>
      <c r="E60" s="568"/>
      <c r="F60" s="568"/>
      <c r="G60" s="568"/>
      <c r="H60" s="568"/>
      <c r="I60" s="568"/>
      <c r="J60" s="568"/>
      <c r="N60" s="186"/>
      <c r="O60" s="163"/>
      <c r="P60" s="184"/>
      <c r="Q60" s="163"/>
      <c r="R60" s="163"/>
      <c r="S60" s="184"/>
      <c r="T60" s="185"/>
    </row>
    <row r="61" spans="2:20" x14ac:dyDescent="0.3">
      <c r="B61" s="568"/>
      <c r="C61" s="568"/>
      <c r="D61" s="568"/>
      <c r="E61" s="568"/>
      <c r="F61" s="568"/>
      <c r="G61" s="568"/>
      <c r="H61" s="568"/>
      <c r="I61" s="568"/>
      <c r="J61" s="568"/>
      <c r="N61" s="187"/>
      <c r="O61" s="163"/>
      <c r="P61" s="184"/>
      <c r="Q61" s="163"/>
      <c r="R61" s="163"/>
      <c r="S61" s="184"/>
      <c r="T61" s="185"/>
    </row>
    <row r="62" spans="2:20" x14ac:dyDescent="0.3">
      <c r="B62" s="568"/>
      <c r="C62" s="568"/>
      <c r="D62" s="568"/>
      <c r="E62" s="568"/>
      <c r="F62" s="568"/>
      <c r="G62" s="568"/>
      <c r="H62" s="568"/>
      <c r="I62" s="568"/>
      <c r="J62" s="568"/>
      <c r="N62" s="186"/>
      <c r="O62" s="163"/>
      <c r="P62" s="184"/>
      <c r="Q62" s="163"/>
      <c r="R62" s="163"/>
      <c r="S62" s="184"/>
      <c r="T62" s="185"/>
    </row>
    <row r="63" spans="2:20" x14ac:dyDescent="0.3">
      <c r="B63" s="568"/>
      <c r="C63" s="568"/>
      <c r="D63" s="568"/>
      <c r="E63" s="568"/>
      <c r="F63" s="568"/>
      <c r="G63" s="568"/>
      <c r="H63" s="568"/>
      <c r="I63" s="568"/>
      <c r="J63" s="568"/>
    </row>
    <row r="64" spans="2:20" x14ac:dyDescent="0.3">
      <c r="B64" s="568"/>
      <c r="C64" s="568"/>
      <c r="D64" s="568"/>
      <c r="E64" s="568"/>
      <c r="F64" s="568"/>
      <c r="G64" s="568"/>
      <c r="H64" s="568"/>
      <c r="I64" s="568"/>
      <c r="J64" s="568"/>
    </row>
    <row r="65" spans="2:10" x14ac:dyDescent="0.3">
      <c r="B65" s="568"/>
      <c r="C65" s="568"/>
      <c r="D65" s="568"/>
      <c r="E65" s="568"/>
      <c r="F65" s="568"/>
      <c r="G65" s="568"/>
      <c r="H65" s="568"/>
      <c r="I65" s="568"/>
      <c r="J65" s="568"/>
    </row>
    <row r="66" spans="2:10" ht="15" customHeight="1" x14ac:dyDescent="0.3">
      <c r="B66" s="568"/>
      <c r="C66" s="568"/>
      <c r="D66" s="568"/>
      <c r="E66" s="568"/>
      <c r="F66" s="568"/>
      <c r="G66" s="568"/>
      <c r="H66" s="568"/>
      <c r="I66" s="568"/>
      <c r="J66" s="568"/>
    </row>
    <row r="67" spans="2:10" x14ac:dyDescent="0.3">
      <c r="B67" s="568"/>
      <c r="C67" s="568"/>
      <c r="D67" s="568"/>
      <c r="E67" s="568"/>
      <c r="F67" s="568"/>
      <c r="G67" s="568"/>
      <c r="H67" s="568"/>
      <c r="I67" s="568"/>
      <c r="J67" s="568"/>
    </row>
    <row r="68" spans="2:10" x14ac:dyDescent="0.3">
      <c r="B68" s="568"/>
      <c r="C68" s="568"/>
      <c r="D68" s="568"/>
      <c r="E68" s="568"/>
      <c r="F68" s="568"/>
      <c r="G68" s="568"/>
      <c r="H68" s="568"/>
      <c r="I68" s="568"/>
      <c r="J68" s="568"/>
    </row>
    <row r="75" spans="2:10" x14ac:dyDescent="0.3">
      <c r="B75" s="162"/>
      <c r="C75" s="162"/>
      <c r="D75" s="162"/>
      <c r="E75" s="162"/>
      <c r="F75" s="162"/>
      <c r="G75" s="162"/>
      <c r="H75" s="162"/>
      <c r="I75" s="162"/>
      <c r="J75" s="162"/>
    </row>
    <row r="76" spans="2:10" x14ac:dyDescent="0.3">
      <c r="B76" s="162"/>
      <c r="C76" s="162"/>
      <c r="D76" s="162"/>
      <c r="E76" s="162"/>
      <c r="F76" s="162"/>
      <c r="G76" s="162"/>
      <c r="H76" s="162"/>
      <c r="I76" s="162"/>
      <c r="J76" s="162"/>
    </row>
    <row r="88" spans="2:18" ht="15" customHeight="1" x14ac:dyDescent="0.3">
      <c r="B88" s="569" t="s">
        <v>1049</v>
      </c>
      <c r="C88" s="569"/>
      <c r="D88" s="569"/>
      <c r="E88" s="569"/>
      <c r="F88" s="569"/>
      <c r="G88" s="569"/>
      <c r="H88" s="569"/>
      <c r="I88" s="569"/>
      <c r="J88" s="569"/>
      <c r="N88" s="163" t="s">
        <v>1050</v>
      </c>
      <c r="O88" s="163" t="s">
        <v>1051</v>
      </c>
      <c r="P88" s="163" t="s">
        <v>1052</v>
      </c>
      <c r="Q88" s="163" t="s">
        <v>1053</v>
      </c>
      <c r="R88" s="163" t="s">
        <v>1054</v>
      </c>
    </row>
    <row r="89" spans="2:18" ht="15" customHeight="1" x14ac:dyDescent="0.3">
      <c r="N89" s="163">
        <v>0</v>
      </c>
      <c r="O89" s="163">
        <f>N89^2</f>
        <v>0</v>
      </c>
      <c r="P89" s="163">
        <f>N89^3</f>
        <v>0</v>
      </c>
      <c r="Q89" s="163">
        <v>1</v>
      </c>
      <c r="R89" s="188">
        <f>$N$98*N89^3+$O$98*N89^2+$P$98*N89+$Q$98</f>
        <v>0.99983333333333346</v>
      </c>
    </row>
    <row r="90" spans="2:18" ht="15" customHeight="1" x14ac:dyDescent="0.3">
      <c r="B90" s="568" t="s">
        <v>1055</v>
      </c>
      <c r="C90" s="568"/>
      <c r="D90" s="568"/>
      <c r="E90" s="568"/>
      <c r="F90" s="568"/>
      <c r="G90" s="568"/>
      <c r="H90" s="568"/>
      <c r="I90" s="568"/>
      <c r="J90" s="568"/>
      <c r="N90" s="163">
        <v>5</v>
      </c>
      <c r="O90" s="163">
        <f t="shared" ref="O90:O95" si="2">N90^2</f>
        <v>25</v>
      </c>
      <c r="P90" s="163">
        <f t="shared" ref="P90:P95" si="3">N90^3</f>
        <v>125</v>
      </c>
      <c r="Q90" s="163">
        <v>0.97499999999999998</v>
      </c>
      <c r="R90" s="188">
        <f t="shared" ref="R90:R95" si="4">$N$98*N90^3+$O$98*N90^2+$P$98*N90+$Q$98</f>
        <v>0.97542857142857153</v>
      </c>
    </row>
    <row r="91" spans="2:18" x14ac:dyDescent="0.3">
      <c r="B91" s="568"/>
      <c r="C91" s="568"/>
      <c r="D91" s="568"/>
      <c r="E91" s="568"/>
      <c r="F91" s="568"/>
      <c r="G91" s="568"/>
      <c r="H91" s="568"/>
      <c r="I91" s="568"/>
      <c r="J91" s="568"/>
      <c r="N91" s="163">
        <v>10</v>
      </c>
      <c r="O91" s="163">
        <f t="shared" si="2"/>
        <v>100</v>
      </c>
      <c r="P91" s="163">
        <f t="shared" si="3"/>
        <v>1000</v>
      </c>
      <c r="Q91" s="163">
        <v>0.93799999999999994</v>
      </c>
      <c r="R91" s="188">
        <f t="shared" si="4"/>
        <v>0.93771428571428583</v>
      </c>
    </row>
    <row r="92" spans="2:18" x14ac:dyDescent="0.3">
      <c r="B92" s="568"/>
      <c r="C92" s="568"/>
      <c r="D92" s="568"/>
      <c r="E92" s="568"/>
      <c r="F92" s="568"/>
      <c r="G92" s="568"/>
      <c r="H92" s="568"/>
      <c r="I92" s="568"/>
      <c r="J92" s="568"/>
      <c r="N92" s="163">
        <v>15</v>
      </c>
      <c r="O92" s="163">
        <f t="shared" si="2"/>
        <v>225</v>
      </c>
      <c r="P92" s="163">
        <f t="shared" si="3"/>
        <v>3375</v>
      </c>
      <c r="Q92" s="163">
        <v>0.88900000000000001</v>
      </c>
      <c r="R92" s="188">
        <f t="shared" si="4"/>
        <v>0.88919047619047631</v>
      </c>
    </row>
    <row r="93" spans="2:18" x14ac:dyDescent="0.3">
      <c r="B93" s="568"/>
      <c r="C93" s="568"/>
      <c r="D93" s="568"/>
      <c r="E93" s="568"/>
      <c r="F93" s="568"/>
      <c r="G93" s="568"/>
      <c r="H93" s="568"/>
      <c r="I93" s="568"/>
      <c r="J93" s="568"/>
      <c r="N93" s="163">
        <v>20</v>
      </c>
      <c r="O93" s="163">
        <f t="shared" si="2"/>
        <v>400</v>
      </c>
      <c r="P93" s="163">
        <f t="shared" si="3"/>
        <v>8000</v>
      </c>
      <c r="Q93" s="163">
        <v>0.83299999999999996</v>
      </c>
      <c r="R93" s="188">
        <f t="shared" si="4"/>
        <v>0.83235714285714302</v>
      </c>
    </row>
    <row r="94" spans="2:18" x14ac:dyDescent="0.3">
      <c r="B94" s="568"/>
      <c r="C94" s="568"/>
      <c r="D94" s="568"/>
      <c r="E94" s="568"/>
      <c r="F94" s="568"/>
      <c r="G94" s="568"/>
      <c r="H94" s="568"/>
      <c r="I94" s="568"/>
      <c r="J94" s="568"/>
      <c r="N94" s="163">
        <v>25</v>
      </c>
      <c r="O94" s="163">
        <f t="shared" si="2"/>
        <v>625</v>
      </c>
      <c r="P94" s="163">
        <f t="shared" si="3"/>
        <v>15625</v>
      </c>
      <c r="Q94" s="163">
        <v>0.76900000000000002</v>
      </c>
      <c r="R94" s="188">
        <f t="shared" si="4"/>
        <v>0.7697142857142858</v>
      </c>
    </row>
    <row r="95" spans="2:18" ht="15" customHeight="1" x14ac:dyDescent="0.3">
      <c r="B95" s="568"/>
      <c r="C95" s="568"/>
      <c r="D95" s="568"/>
      <c r="E95" s="568"/>
      <c r="F95" s="568"/>
      <c r="G95" s="568"/>
      <c r="H95" s="568"/>
      <c r="I95" s="568"/>
      <c r="J95" s="568"/>
      <c r="N95" s="163">
        <v>30</v>
      </c>
      <c r="O95" s="163">
        <f t="shared" si="2"/>
        <v>900</v>
      </c>
      <c r="P95" s="163">
        <f t="shared" si="3"/>
        <v>27000</v>
      </c>
      <c r="Q95" s="163">
        <v>0.70399999999999996</v>
      </c>
      <c r="R95" s="188">
        <f t="shared" si="4"/>
        <v>0.70376190476190492</v>
      </c>
    </row>
    <row r="96" spans="2:18" ht="15" customHeight="1" x14ac:dyDescent="0.3">
      <c r="B96" s="568"/>
      <c r="C96" s="568"/>
      <c r="D96" s="568"/>
      <c r="E96" s="568"/>
      <c r="F96" s="568"/>
      <c r="G96" s="568"/>
      <c r="H96" s="568"/>
      <c r="I96" s="568"/>
      <c r="J96" s="568"/>
    </row>
    <row r="97" spans="2:20" ht="15" customHeight="1" x14ac:dyDescent="0.3">
      <c r="B97" s="568"/>
      <c r="C97" s="568"/>
      <c r="D97" s="568"/>
      <c r="E97" s="568"/>
      <c r="F97" s="568"/>
      <c r="G97" s="568"/>
      <c r="H97" s="568"/>
      <c r="I97" s="568"/>
      <c r="J97" s="568"/>
      <c r="N97" s="189" t="s">
        <v>1056</v>
      </c>
      <c r="O97" s="189" t="s">
        <v>1057</v>
      </c>
      <c r="P97" s="189" t="s">
        <v>1058</v>
      </c>
      <c r="Q97" s="189" t="s">
        <v>1059</v>
      </c>
    </row>
    <row r="98" spans="2:20" ht="15" customHeight="1" x14ac:dyDescent="0.3">
      <c r="B98" s="568"/>
      <c r="C98" s="568"/>
      <c r="D98" s="568"/>
      <c r="E98" s="568"/>
      <c r="F98" s="568"/>
      <c r="G98" s="568"/>
      <c r="H98" s="568"/>
      <c r="I98" s="568"/>
      <c r="J98" s="568"/>
      <c r="N98" s="161">
        <f t="array" ref="N98:Q100">LINEST(Q89:Q95,N89:P95,TRUE,TRUE)</f>
        <v>3.3333333333333304E-6</v>
      </c>
      <c r="O98" s="161">
        <v>-3.1619047619047604E-4</v>
      </c>
      <c r="P98" s="161">
        <v>-3.3833333333333354E-3</v>
      </c>
      <c r="Q98" s="161">
        <v>0.99983333333333346</v>
      </c>
    </row>
    <row r="99" spans="2:20" ht="15" customHeight="1" x14ac:dyDescent="0.3">
      <c r="B99" s="568"/>
      <c r="C99" s="568"/>
      <c r="D99" s="568"/>
      <c r="E99" s="568"/>
      <c r="F99" s="568"/>
      <c r="G99" s="568"/>
      <c r="H99" s="568"/>
      <c r="I99" s="568"/>
      <c r="J99" s="568"/>
      <c r="N99" s="190">
        <v>3.5963270831673053E-7</v>
      </c>
      <c r="O99" s="190">
        <v>1.6438345378735608E-5</v>
      </c>
      <c r="P99" s="190">
        <v>2.0109822770607549E-4</v>
      </c>
      <c r="Q99" s="190">
        <v>6.3665437891048855E-4</v>
      </c>
    </row>
    <row r="100" spans="2:20" ht="15" customHeight="1" x14ac:dyDescent="0.3">
      <c r="B100" s="568"/>
      <c r="C100" s="568"/>
      <c r="D100" s="568"/>
      <c r="E100" s="568"/>
      <c r="F100" s="568"/>
      <c r="G100" s="568"/>
      <c r="H100" s="568"/>
      <c r="I100" s="568"/>
      <c r="J100" s="568"/>
      <c r="M100" s="192" t="s">
        <v>1060</v>
      </c>
      <c r="N100" s="175">
        <v>0.99998180957067939</v>
      </c>
      <c r="O100" s="191">
        <v>6.6068747264337385E-4</v>
      </c>
      <c r="P100" s="191" t="e">
        <v>#N/A</v>
      </c>
      <c r="Q100" s="191" t="e">
        <v>#N/A</v>
      </c>
    </row>
    <row r="101" spans="2:20" ht="15" customHeight="1" x14ac:dyDescent="0.3"/>
    <row r="103" spans="2:20" x14ac:dyDescent="0.3">
      <c r="B103" s="570" t="s">
        <v>1061</v>
      </c>
      <c r="C103" s="570"/>
      <c r="D103" s="570"/>
      <c r="E103" s="570"/>
      <c r="F103" s="570"/>
      <c r="G103" s="570"/>
      <c r="H103" s="570"/>
      <c r="I103" s="570"/>
      <c r="J103" s="570"/>
      <c r="N103" s="565" t="s">
        <v>1062</v>
      </c>
      <c r="O103" s="565"/>
      <c r="P103" s="565"/>
      <c r="Q103" s="565"/>
      <c r="R103" s="565"/>
      <c r="S103" s="565"/>
      <c r="T103" s="565"/>
    </row>
    <row r="104" spans="2:20" ht="15.6" x14ac:dyDescent="0.35">
      <c r="B104" s="193" t="s">
        <v>1063</v>
      </c>
      <c r="C104" s="194" t="s">
        <v>1064</v>
      </c>
      <c r="D104" s="195" t="s">
        <v>1065</v>
      </c>
      <c r="E104" s="196" t="s">
        <v>1050</v>
      </c>
      <c r="F104" s="193" t="s">
        <v>1066</v>
      </c>
      <c r="G104" s="194" t="s">
        <v>1067</v>
      </c>
      <c r="H104" s="194" t="s">
        <v>1068</v>
      </c>
      <c r="I104" s="194" t="s">
        <v>1069</v>
      </c>
      <c r="J104" s="194" t="s">
        <v>1070</v>
      </c>
      <c r="N104" s="189" t="s">
        <v>1071</v>
      </c>
      <c r="O104" s="189" t="s">
        <v>1072</v>
      </c>
      <c r="P104" s="189" t="s">
        <v>1073</v>
      </c>
      <c r="Q104" s="189"/>
      <c r="R104" s="189" t="s">
        <v>1074</v>
      </c>
      <c r="S104" s="189" t="s">
        <v>1075</v>
      </c>
      <c r="T104" s="189" t="s">
        <v>1076</v>
      </c>
    </row>
    <row r="105" spans="2:20" x14ac:dyDescent="0.3">
      <c r="B105" s="197">
        <f>BTP_Original!$S$53*100</f>
        <v>756.00703568691858</v>
      </c>
      <c r="C105" s="198">
        <f>BTP_Original!$T$53</f>
        <v>97.149735884029241</v>
      </c>
      <c r="D105" s="199">
        <f>BTP_Original!$AD$7</f>
        <v>157305</v>
      </c>
      <c r="E105" s="200">
        <f>$O$118*D105^2+P118*D105^1.5+Q118*D105+R118</f>
        <v>14.257691601591102</v>
      </c>
      <c r="F105" s="201">
        <f>N98*E105^3+O98*E105^2+P98*E105+Q98</f>
        <v>0.89698014642585844</v>
      </c>
      <c r="G105" s="202">
        <f>(101325/B107)*N48+P48</f>
        <v>84578.58180799376</v>
      </c>
      <c r="H105" s="202">
        <f>G105*F105</f>
        <v>75865.308694625695</v>
      </c>
      <c r="I105" s="203">
        <f>H105/N55</f>
        <v>9.9573930271326314E-2</v>
      </c>
      <c r="J105" s="204">
        <f>I105*100</f>
        <v>9.9573930271326319</v>
      </c>
      <c r="N105" s="163">
        <v>0</v>
      </c>
      <c r="O105" s="163">
        <v>998.16908907894242</v>
      </c>
      <c r="P105" s="163">
        <v>0</v>
      </c>
      <c r="Q105" s="163"/>
      <c r="R105" s="205">
        <f>P105</f>
        <v>0</v>
      </c>
      <c r="S105" s="173">
        <f>R105^1.5</f>
        <v>0</v>
      </c>
      <c r="T105" s="173">
        <f>R105^2</f>
        <v>0</v>
      </c>
    </row>
    <row r="106" spans="2:20" x14ac:dyDescent="0.3">
      <c r="B106" s="206" t="s">
        <v>1077</v>
      </c>
      <c r="C106" s="194" t="s">
        <v>1078</v>
      </c>
      <c r="D106" s="207" t="s">
        <v>1079</v>
      </c>
      <c r="E106" s="208" t="s">
        <v>1071</v>
      </c>
      <c r="F106" s="164" t="s">
        <v>105</v>
      </c>
      <c r="G106" s="209" t="s">
        <v>1080</v>
      </c>
      <c r="H106" s="209" t="s">
        <v>1080</v>
      </c>
      <c r="I106" s="209" t="s">
        <v>105</v>
      </c>
      <c r="J106" s="209" t="s">
        <v>1081</v>
      </c>
      <c r="N106" s="163">
        <v>1</v>
      </c>
      <c r="O106" s="163">
        <v>1005.1748843199518</v>
      </c>
      <c r="P106" s="163">
        <v>10051.748843199519</v>
      </c>
      <c r="Q106" s="163"/>
      <c r="R106" s="205">
        <f t="shared" ref="R106:R114" si="5">P106</f>
        <v>10051.748843199519</v>
      </c>
      <c r="S106" s="173">
        <f t="shared" ref="S106:S114" si="6">R106^1.5</f>
        <v>1007772.3601208117</v>
      </c>
      <c r="T106" s="173">
        <f t="shared" ref="T106:T114" si="7">R106^2</f>
        <v>101037654.80676286</v>
      </c>
    </row>
    <row r="107" spans="2:20" x14ac:dyDescent="0.3">
      <c r="B107" s="210">
        <f>B105+101.325</f>
        <v>857.33203568691863</v>
      </c>
      <c r="C107" s="211">
        <f>B107*0.14504</f>
        <v>124.34743845603067</v>
      </c>
      <c r="D107" s="212" t="s">
        <v>105</v>
      </c>
      <c r="E107" s="213" t="s">
        <v>105</v>
      </c>
      <c r="F107" s="214" t="s">
        <v>105</v>
      </c>
      <c r="G107" s="215" t="s">
        <v>1082</v>
      </c>
      <c r="H107" s="215" t="s">
        <v>1082</v>
      </c>
      <c r="I107" s="216" t="s">
        <v>105</v>
      </c>
      <c r="J107" s="216" t="s">
        <v>1083</v>
      </c>
      <c r="N107" s="163">
        <v>2</v>
      </c>
      <c r="O107" s="163">
        <v>1012.2320668422401</v>
      </c>
      <c r="P107" s="163">
        <v>20244.641336844805</v>
      </c>
      <c r="Q107" s="163"/>
      <c r="R107" s="205">
        <f t="shared" si="5"/>
        <v>20244.641336844805</v>
      </c>
      <c r="S107" s="173">
        <f t="shared" si="6"/>
        <v>2880481.7668002369</v>
      </c>
      <c r="T107" s="173">
        <f t="shared" si="7"/>
        <v>409845502.85748541</v>
      </c>
    </row>
    <row r="108" spans="2:20" x14ac:dyDescent="0.3">
      <c r="F108" s="217"/>
      <c r="G108" s="217" t="s">
        <v>1084</v>
      </c>
      <c r="N108" s="163">
        <v>4</v>
      </c>
      <c r="O108" s="163">
        <v>1026.5005937306539</v>
      </c>
      <c r="P108" s="163">
        <v>41060.023749226151</v>
      </c>
      <c r="Q108" s="163"/>
      <c r="R108" s="205">
        <f t="shared" si="5"/>
        <v>41060.023749226151</v>
      </c>
      <c r="S108" s="173">
        <f t="shared" si="6"/>
        <v>8320104.7550023049</v>
      </c>
      <c r="T108" s="173">
        <f t="shared" si="7"/>
        <v>1685925550.2870157</v>
      </c>
    </row>
    <row r="109" spans="2:20" x14ac:dyDescent="0.3">
      <c r="E109" s="218">
        <f>O118*D105^2+P118*D105^1.5+Q118*D105+R118</f>
        <v>14.257691601591102</v>
      </c>
      <c r="F109" s="160">
        <f>N98*E109^3+O98*E109^2+P98*E109+Q98</f>
        <v>0.89698014642585844</v>
      </c>
      <c r="N109" s="163">
        <v>8</v>
      </c>
      <c r="O109" s="163">
        <v>1055.6542948828301</v>
      </c>
      <c r="P109" s="163">
        <v>84452.343590626406</v>
      </c>
      <c r="Q109" s="163"/>
      <c r="R109" s="205">
        <f t="shared" si="5"/>
        <v>84452.343590626406</v>
      </c>
      <c r="S109" s="173">
        <f t="shared" si="6"/>
        <v>24542429.883631729</v>
      </c>
      <c r="T109" s="173">
        <f t="shared" si="7"/>
        <v>7132198337.9492168</v>
      </c>
    </row>
    <row r="110" spans="2:20" x14ac:dyDescent="0.3">
      <c r="B110" s="564" t="s">
        <v>1085</v>
      </c>
      <c r="C110" s="564"/>
      <c r="D110" s="564"/>
      <c r="E110" s="564"/>
      <c r="F110" s="564"/>
      <c r="G110" s="564"/>
      <c r="H110" s="564"/>
      <c r="I110" s="564"/>
      <c r="J110" s="564"/>
      <c r="N110" s="163">
        <v>12</v>
      </c>
      <c r="O110" s="163">
        <v>1085.6301925354708</v>
      </c>
      <c r="P110" s="163">
        <v>130275.62310425648</v>
      </c>
      <c r="Q110" s="163"/>
      <c r="R110" s="205">
        <f t="shared" si="5"/>
        <v>130275.62310425648</v>
      </c>
      <c r="S110" s="173">
        <f t="shared" si="6"/>
        <v>47021311.549994491</v>
      </c>
      <c r="T110" s="173">
        <f t="shared" si="7"/>
        <v>16971737975.202284</v>
      </c>
    </row>
    <row r="111" spans="2:20" x14ac:dyDescent="0.3">
      <c r="N111" s="163">
        <v>16</v>
      </c>
      <c r="O111" s="163">
        <v>1116.4282866885765</v>
      </c>
      <c r="P111" s="163">
        <v>178628.52587017225</v>
      </c>
      <c r="Q111" s="163"/>
      <c r="R111" s="205">
        <f t="shared" si="5"/>
        <v>178628.52587017225</v>
      </c>
      <c r="S111" s="173">
        <f t="shared" si="6"/>
        <v>75496396.226670042</v>
      </c>
      <c r="T111" s="173">
        <f t="shared" si="7"/>
        <v>31908150254.550797</v>
      </c>
    </row>
    <row r="112" spans="2:20" x14ac:dyDescent="0.3">
      <c r="B112" s="563" t="s">
        <v>1086</v>
      </c>
      <c r="C112" s="563"/>
      <c r="D112" s="563"/>
      <c r="E112" s="563"/>
      <c r="F112" s="563"/>
      <c r="G112" s="563"/>
      <c r="H112" s="563"/>
      <c r="I112" s="563"/>
      <c r="J112" s="563"/>
      <c r="N112" s="163">
        <v>20</v>
      </c>
      <c r="O112" s="163">
        <v>1148.0485773421465</v>
      </c>
      <c r="P112" s="163">
        <v>229609.71546842929</v>
      </c>
      <c r="Q112" s="163"/>
      <c r="R112" s="205">
        <f t="shared" si="5"/>
        <v>229609.71546842929</v>
      </c>
      <c r="S112" s="173">
        <f t="shared" si="6"/>
        <v>110023483.3459727</v>
      </c>
      <c r="T112" s="173">
        <f t="shared" si="7"/>
        <v>52720621437.493057</v>
      </c>
    </row>
    <row r="113" spans="2:20" x14ac:dyDescent="0.3">
      <c r="B113" s="563"/>
      <c r="C113" s="563"/>
      <c r="D113" s="563"/>
      <c r="E113" s="563"/>
      <c r="F113" s="563"/>
      <c r="G113" s="563"/>
      <c r="H113" s="563"/>
      <c r="I113" s="563"/>
      <c r="J113" s="563"/>
      <c r="N113" s="163">
        <v>24</v>
      </c>
      <c r="O113" s="163">
        <v>1180.4910644961813</v>
      </c>
      <c r="P113" s="163">
        <v>283317.85547908349</v>
      </c>
      <c r="Q113" s="163"/>
      <c r="R113" s="205">
        <f t="shared" si="5"/>
        <v>283317.85547908349</v>
      </c>
      <c r="S113" s="173">
        <f t="shared" si="6"/>
        <v>150803325.52952564</v>
      </c>
      <c r="T113" s="173">
        <f t="shared" si="7"/>
        <v>80269007233.266846</v>
      </c>
    </row>
    <row r="114" spans="2:20" ht="15" customHeight="1" x14ac:dyDescent="0.3">
      <c r="B114" s="563" t="s">
        <v>1087</v>
      </c>
      <c r="C114" s="563"/>
      <c r="D114" s="563"/>
      <c r="E114" s="563"/>
      <c r="F114" s="563"/>
      <c r="G114" s="563"/>
      <c r="H114" s="563"/>
      <c r="I114" s="563"/>
      <c r="J114" s="563"/>
      <c r="N114" s="189">
        <v>26</v>
      </c>
      <c r="O114" s="189">
        <v>1197.0206317608731</v>
      </c>
      <c r="P114" s="189">
        <v>311225.36425782705</v>
      </c>
      <c r="Q114" s="189"/>
      <c r="R114" s="219">
        <f t="shared" si="5"/>
        <v>311225.36425782705</v>
      </c>
      <c r="S114" s="176">
        <f t="shared" si="6"/>
        <v>173625086.80133855</v>
      </c>
      <c r="T114" s="176">
        <f t="shared" si="7"/>
        <v>96861227357.41713</v>
      </c>
    </row>
    <row r="115" spans="2:20" ht="15" customHeight="1" x14ac:dyDescent="0.3">
      <c r="B115" s="563"/>
      <c r="C115" s="563"/>
      <c r="D115" s="563"/>
      <c r="E115" s="563"/>
      <c r="F115" s="563"/>
      <c r="G115" s="563"/>
      <c r="H115" s="563"/>
      <c r="I115" s="563"/>
      <c r="J115" s="563"/>
      <c r="N115" s="161" t="s">
        <v>1088</v>
      </c>
    </row>
    <row r="116" spans="2:20" x14ac:dyDescent="0.3">
      <c r="B116" s="563" t="s">
        <v>1089</v>
      </c>
      <c r="C116" s="563"/>
      <c r="D116" s="563"/>
      <c r="E116" s="563"/>
      <c r="F116" s="563"/>
      <c r="G116" s="563"/>
      <c r="H116" s="563"/>
      <c r="I116" s="563"/>
      <c r="J116" s="563"/>
    </row>
    <row r="117" spans="2:20" ht="15" customHeight="1" x14ac:dyDescent="0.3">
      <c r="B117" s="563" t="s">
        <v>1090</v>
      </c>
      <c r="C117" s="563"/>
      <c r="D117" s="563"/>
      <c r="E117" s="563"/>
      <c r="F117" s="563"/>
      <c r="G117" s="563"/>
      <c r="H117" s="563"/>
      <c r="I117" s="563"/>
      <c r="J117" s="563"/>
      <c r="O117" s="189" t="s">
        <v>1056</v>
      </c>
      <c r="P117" s="189" t="s">
        <v>1057</v>
      </c>
      <c r="Q117" s="189" t="s">
        <v>1058</v>
      </c>
      <c r="R117" s="189" t="s">
        <v>1059</v>
      </c>
    </row>
    <row r="118" spans="2:20" x14ac:dyDescent="0.3">
      <c r="B118" s="563"/>
      <c r="C118" s="563"/>
      <c r="D118" s="563"/>
      <c r="E118" s="563"/>
      <c r="F118" s="563"/>
      <c r="G118" s="563"/>
      <c r="H118" s="563"/>
      <c r="I118" s="563"/>
      <c r="J118" s="563"/>
      <c r="O118" s="161">
        <f t="array" ref="O118:R120">LINEST(N105:N114,R105:T114,TRUE,TRUE)</f>
        <v>-2.1991136500577317E-11</v>
      </c>
      <c r="P118" s="161">
        <v>-2.3333849995332373E-8</v>
      </c>
      <c r="Q118" s="161">
        <v>1.0341180826938701E-4</v>
      </c>
      <c r="R118" s="161">
        <v>-9.5403424353647237E-3</v>
      </c>
    </row>
    <row r="119" spans="2:20" x14ac:dyDescent="0.3">
      <c r="B119" s="563" t="s">
        <v>1091</v>
      </c>
      <c r="C119" s="563"/>
      <c r="D119" s="563"/>
      <c r="E119" s="563"/>
      <c r="F119" s="563"/>
      <c r="G119" s="563"/>
      <c r="H119" s="563"/>
      <c r="I119" s="563"/>
      <c r="J119" s="563"/>
      <c r="O119" s="190">
        <v>2.6077085498012266E-12</v>
      </c>
      <c r="P119" s="190">
        <v>2.4584311749006367E-9</v>
      </c>
      <c r="Q119" s="190">
        <v>5.9595348798566242E-7</v>
      </c>
      <c r="R119" s="190">
        <v>6.7595539944887515E-3</v>
      </c>
    </row>
    <row r="120" spans="2:20" x14ac:dyDescent="0.3">
      <c r="B120" s="563"/>
      <c r="C120" s="563"/>
      <c r="D120" s="563"/>
      <c r="E120" s="563"/>
      <c r="F120" s="563"/>
      <c r="G120" s="563"/>
      <c r="H120" s="563"/>
      <c r="I120" s="563"/>
      <c r="J120" s="563"/>
      <c r="N120" s="192" t="s">
        <v>1060</v>
      </c>
      <c r="O120" s="175">
        <v>0.99999950445432717</v>
      </c>
      <c r="P120" s="191">
        <v>8.4283137224469892E-3</v>
      </c>
      <c r="Q120" s="191" t="e">
        <v>#N/A</v>
      </c>
      <c r="R120" s="191" t="e">
        <v>#N/A</v>
      </c>
    </row>
    <row r="121" spans="2:20" x14ac:dyDescent="0.3">
      <c r="B121" s="563"/>
      <c r="C121" s="563"/>
      <c r="D121" s="563"/>
      <c r="E121" s="563"/>
      <c r="F121" s="563"/>
      <c r="G121" s="563"/>
      <c r="H121" s="563"/>
      <c r="I121" s="563"/>
      <c r="J121" s="563"/>
    </row>
    <row r="122" spans="2:20" x14ac:dyDescent="0.3">
      <c r="B122" s="563"/>
      <c r="C122" s="563"/>
      <c r="D122" s="563"/>
      <c r="E122" s="563"/>
      <c r="F122" s="563"/>
      <c r="G122" s="563"/>
      <c r="H122" s="563"/>
      <c r="I122" s="563"/>
      <c r="J122" s="563"/>
      <c r="M122" s="161" t="s">
        <v>1077</v>
      </c>
      <c r="N122" s="161" t="s">
        <v>1064</v>
      </c>
      <c r="O122" s="161" t="s">
        <v>1092</v>
      </c>
      <c r="P122" s="161" t="s">
        <v>1093</v>
      </c>
      <c r="Q122" s="161" t="s">
        <v>1094</v>
      </c>
      <c r="R122" s="161" t="s">
        <v>1095</v>
      </c>
      <c r="S122" s="161" t="s">
        <v>1096</v>
      </c>
    </row>
    <row r="123" spans="2:20" x14ac:dyDescent="0.3">
      <c r="B123" s="563"/>
      <c r="C123" s="563"/>
      <c r="D123" s="563"/>
      <c r="E123" s="563"/>
      <c r="F123" s="563"/>
      <c r="G123" s="563"/>
      <c r="H123" s="563"/>
      <c r="I123" s="563"/>
      <c r="J123" s="563"/>
      <c r="M123" s="161">
        <v>1000</v>
      </c>
      <c r="N123" s="161">
        <v>39.96</v>
      </c>
      <c r="O123" s="161">
        <v>5919.357532001949</v>
      </c>
      <c r="P123" s="161">
        <v>5314.8541927585256</v>
      </c>
      <c r="Q123" s="161">
        <v>6.9757960508963672E-3</v>
      </c>
      <c r="R123" s="161">
        <v>6.8469999999999998E-3</v>
      </c>
      <c r="S123" s="161">
        <f>(Q123-R123)/R123*100</f>
        <v>1.8810581407385345</v>
      </c>
    </row>
    <row r="124" spans="2:20" x14ac:dyDescent="0.3">
      <c r="B124" s="563"/>
      <c r="C124" s="563"/>
      <c r="D124" s="563"/>
      <c r="E124" s="563"/>
      <c r="F124" s="563"/>
      <c r="G124" s="563"/>
      <c r="H124" s="563"/>
      <c r="I124" s="563"/>
      <c r="J124" s="563"/>
      <c r="M124" s="161">
        <v>1924</v>
      </c>
      <c r="N124" s="161">
        <v>48.85</v>
      </c>
      <c r="O124" s="161">
        <v>5031.0689638782296</v>
      </c>
      <c r="P124" s="161">
        <v>4517.2804366290939</v>
      </c>
      <c r="Q124" s="161">
        <v>5.9289730042948602E-3</v>
      </c>
      <c r="R124" s="161">
        <v>5.7739999999999996E-3</v>
      </c>
      <c r="S124" s="161">
        <f>(Q124-R124)/R124*100</f>
        <v>2.6839799843238756</v>
      </c>
    </row>
    <row r="125" spans="2:20" x14ac:dyDescent="0.3">
      <c r="B125" s="563"/>
      <c r="C125" s="563"/>
      <c r="D125" s="563"/>
      <c r="E125" s="563"/>
      <c r="F125" s="563"/>
      <c r="G125" s="563"/>
      <c r="H125" s="563"/>
      <c r="I125" s="563"/>
      <c r="J125" s="563"/>
      <c r="M125" s="161">
        <v>567</v>
      </c>
      <c r="N125" s="161">
        <v>74.150000000000006</v>
      </c>
      <c r="O125" s="161">
        <v>51870.716347854206</v>
      </c>
      <c r="P125" s="161">
        <v>46573.516259549768</v>
      </c>
      <c r="Q125" s="161">
        <v>6.1128177559862912E-2</v>
      </c>
      <c r="R125" s="161">
        <v>6.0183E-2</v>
      </c>
      <c r="S125" s="161">
        <f>(Q125-R125)/R125*100</f>
        <v>1.5705058901399256</v>
      </c>
    </row>
  </sheetData>
  <mergeCells count="45">
    <mergeCell ref="M38:P38"/>
    <mergeCell ref="B2:J2"/>
    <mergeCell ref="B4:J4"/>
    <mergeCell ref="B5:J13"/>
    <mergeCell ref="B15:J15"/>
    <mergeCell ref="B16:J17"/>
    <mergeCell ref="B19:J19"/>
    <mergeCell ref="B20:J28"/>
    <mergeCell ref="B29:J29"/>
    <mergeCell ref="B30:J31"/>
    <mergeCell ref="B35:J36"/>
    <mergeCell ref="D38:H38"/>
    <mergeCell ref="E39:F39"/>
    <mergeCell ref="G39:H39"/>
    <mergeCell ref="E40:F40"/>
    <mergeCell ref="G40:H40"/>
    <mergeCell ref="E41:F41"/>
    <mergeCell ref="G41:H41"/>
    <mergeCell ref="E42:F42"/>
    <mergeCell ref="G42:H42"/>
    <mergeCell ref="E43:F43"/>
    <mergeCell ref="G43:H43"/>
    <mergeCell ref="E44:F44"/>
    <mergeCell ref="G44:H44"/>
    <mergeCell ref="N103:T103"/>
    <mergeCell ref="E45:F45"/>
    <mergeCell ref="G45:H45"/>
    <mergeCell ref="E46:F46"/>
    <mergeCell ref="G46:H46"/>
    <mergeCell ref="E47:F47"/>
    <mergeCell ref="G47:H47"/>
    <mergeCell ref="B49:J50"/>
    <mergeCell ref="B60:J68"/>
    <mergeCell ref="B88:J88"/>
    <mergeCell ref="B90:J100"/>
    <mergeCell ref="B103:J103"/>
    <mergeCell ref="B121:J121"/>
    <mergeCell ref="B122:J123"/>
    <mergeCell ref="B124:J125"/>
    <mergeCell ref="B110:J110"/>
    <mergeCell ref="B112:J113"/>
    <mergeCell ref="B114:J115"/>
    <mergeCell ref="B116:J116"/>
    <mergeCell ref="B117:J118"/>
    <mergeCell ref="B119:J120"/>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EB95D-FDE6-4693-916B-E09FCC62564D}">
  <sheetPr codeName="Planilha5"/>
  <dimension ref="A1:FN988"/>
  <sheetViews>
    <sheetView showGridLines="0" workbookViewId="0">
      <selection activeCell="BR96" sqref="BR96"/>
    </sheetView>
  </sheetViews>
  <sheetFormatPr defaultColWidth="9.109375" defaultRowHeight="13.8" x14ac:dyDescent="0.3"/>
  <cols>
    <col min="1" max="20" width="1.88671875" style="575" customWidth="1"/>
    <col min="21" max="23" width="1.6640625" style="575" customWidth="1"/>
    <col min="24" max="39" width="1.88671875" style="575" customWidth="1"/>
    <col min="40" max="42" width="2.109375" style="575" customWidth="1"/>
    <col min="43" max="63" width="1.88671875" style="575" customWidth="1"/>
    <col min="64" max="67" width="1.88671875" style="573" customWidth="1"/>
    <col min="68" max="72" width="5.6640625" style="573" customWidth="1"/>
    <col min="73" max="77" width="1.88671875" style="573" customWidth="1"/>
    <col min="78" max="170" width="9.109375" style="573"/>
    <col min="171" max="16384" width="9.109375" style="575"/>
  </cols>
  <sheetData>
    <row r="1" spans="1:70" ht="3.75" customHeight="1" x14ac:dyDescent="0.3">
      <c r="A1" s="573"/>
      <c r="B1" s="573"/>
      <c r="C1" s="573"/>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573"/>
      <c r="AK1" s="573"/>
      <c r="AL1" s="573"/>
      <c r="AM1" s="573"/>
      <c r="AN1" s="573"/>
      <c r="AO1" s="573"/>
      <c r="AP1" s="573"/>
      <c r="AQ1" s="573"/>
      <c r="AR1" s="573"/>
      <c r="AS1" s="573"/>
      <c r="AT1" s="573"/>
      <c r="AU1" s="573"/>
      <c r="AV1" s="573"/>
      <c r="AW1" s="573"/>
      <c r="AX1" s="573"/>
      <c r="AY1" s="573"/>
      <c r="AZ1" s="573"/>
      <c r="BA1" s="573"/>
      <c r="BB1" s="573"/>
      <c r="BC1" s="573"/>
      <c r="BD1" s="573"/>
      <c r="BE1" s="573"/>
      <c r="BF1" s="573"/>
      <c r="BG1" s="573"/>
      <c r="BH1" s="573"/>
      <c r="BI1" s="573"/>
      <c r="BJ1" s="573"/>
      <c r="BK1" s="573"/>
      <c r="BR1" s="574"/>
    </row>
    <row r="2" spans="1:70" s="573" customFormat="1" ht="3.75" customHeight="1" x14ac:dyDescent="0.3">
      <c r="A2" s="575"/>
      <c r="B2" s="575"/>
      <c r="C2" s="575"/>
      <c r="D2" s="575"/>
      <c r="E2" s="575"/>
      <c r="F2" s="575"/>
      <c r="G2" s="575"/>
      <c r="H2" s="575"/>
      <c r="I2" s="575"/>
      <c r="J2" s="575"/>
      <c r="K2" s="575"/>
      <c r="L2" s="575"/>
      <c r="M2" s="575"/>
      <c r="N2" s="575"/>
      <c r="O2" s="575"/>
      <c r="P2" s="575"/>
      <c r="Q2" s="575"/>
      <c r="R2" s="575"/>
      <c r="S2" s="575"/>
      <c r="T2" s="575"/>
      <c r="U2" s="575"/>
      <c r="V2" s="575"/>
      <c r="W2" s="575"/>
      <c r="X2" s="575"/>
      <c r="Y2" s="575"/>
      <c r="Z2" s="575"/>
      <c r="AA2" s="575"/>
      <c r="AB2" s="575"/>
      <c r="AC2" s="575"/>
      <c r="AD2" s="575"/>
      <c r="AE2" s="575"/>
      <c r="AF2" s="575"/>
      <c r="AG2" s="575"/>
      <c r="AH2" s="575"/>
      <c r="AI2" s="575"/>
      <c r="AJ2" s="575"/>
      <c r="AK2" s="575"/>
      <c r="AL2" s="575"/>
      <c r="AM2" s="575"/>
      <c r="AN2" s="575"/>
      <c r="AO2" s="575"/>
      <c r="AP2" s="575"/>
      <c r="AQ2" s="575"/>
      <c r="AR2" s="575"/>
      <c r="AS2" s="575"/>
      <c r="AT2" s="575"/>
      <c r="AU2" s="575"/>
      <c r="AV2" s="575"/>
      <c r="AW2" s="575"/>
      <c r="AX2" s="575"/>
      <c r="AY2" s="575"/>
      <c r="AZ2" s="575"/>
      <c r="BA2" s="575"/>
      <c r="BB2" s="575"/>
      <c r="BC2" s="575"/>
      <c r="BD2" s="575"/>
      <c r="BE2" s="575"/>
      <c r="BF2" s="575"/>
      <c r="BG2" s="575"/>
      <c r="BH2" s="575"/>
      <c r="BI2" s="575"/>
      <c r="BJ2" s="575"/>
      <c r="BK2" s="575"/>
      <c r="BL2" s="575"/>
      <c r="BM2" s="575"/>
      <c r="BR2" s="574"/>
    </row>
    <row r="3" spans="1:70" s="573" customFormat="1" ht="3.75" customHeight="1" x14ac:dyDescent="0.3">
      <c r="A3" s="575"/>
      <c r="B3" s="575"/>
      <c r="C3" s="575"/>
      <c r="D3" s="575"/>
      <c r="E3" s="575"/>
      <c r="F3" s="575"/>
      <c r="G3" s="575"/>
      <c r="H3" s="575"/>
      <c r="I3" s="575"/>
      <c r="J3" s="575"/>
      <c r="K3" s="575"/>
      <c r="L3" s="575"/>
      <c r="M3" s="575"/>
      <c r="N3" s="575"/>
      <c r="O3" s="575"/>
      <c r="P3" s="575"/>
      <c r="Q3" s="575"/>
      <c r="R3" s="575"/>
      <c r="S3" s="575"/>
      <c r="T3" s="575"/>
      <c r="U3" s="575"/>
      <c r="V3" s="575"/>
      <c r="W3" s="575"/>
      <c r="X3" s="575"/>
      <c r="Y3" s="575"/>
      <c r="Z3" s="575"/>
      <c r="AA3" s="575"/>
      <c r="AB3" s="575"/>
      <c r="AC3" s="575"/>
      <c r="AD3" s="575"/>
      <c r="AE3" s="575"/>
      <c r="AF3" s="575"/>
      <c r="AG3" s="575"/>
      <c r="AH3" s="575"/>
      <c r="AI3" s="575"/>
      <c r="AJ3" s="575"/>
      <c r="AK3" s="575"/>
      <c r="AL3" s="575"/>
      <c r="AM3" s="575"/>
      <c r="AN3" s="575"/>
      <c r="AO3" s="575"/>
      <c r="AP3" s="575"/>
      <c r="AQ3" s="575"/>
      <c r="AR3" s="575"/>
      <c r="AS3" s="575"/>
      <c r="AT3" s="575"/>
      <c r="AU3" s="575"/>
      <c r="AV3" s="575"/>
      <c r="AW3" s="575"/>
      <c r="AX3" s="575"/>
      <c r="AY3" s="575"/>
      <c r="AZ3" s="575"/>
      <c r="BA3" s="575"/>
      <c r="BB3" s="575"/>
      <c r="BC3" s="575"/>
      <c r="BD3" s="575"/>
      <c r="BE3" s="575"/>
      <c r="BF3" s="575"/>
      <c r="BG3" s="575"/>
      <c r="BH3" s="575"/>
      <c r="BI3" s="575"/>
      <c r="BJ3" s="575"/>
      <c r="BK3" s="575"/>
      <c r="BL3" s="575"/>
      <c r="BM3" s="575"/>
      <c r="BR3" s="574"/>
    </row>
    <row r="4" spans="1:70" s="573" customFormat="1" ht="3.75" customHeight="1" x14ac:dyDescent="0.3">
      <c r="A4" s="575"/>
      <c r="B4" s="575"/>
      <c r="C4" s="575"/>
      <c r="D4" s="575"/>
      <c r="E4" s="575"/>
      <c r="F4" s="575"/>
      <c r="G4" s="575"/>
      <c r="H4" s="575"/>
      <c r="I4" s="575"/>
      <c r="J4" s="575"/>
      <c r="K4" s="575"/>
      <c r="L4" s="575"/>
      <c r="M4" s="575"/>
      <c r="N4" s="575"/>
      <c r="O4" s="575"/>
      <c r="P4" s="575"/>
      <c r="Q4" s="575"/>
      <c r="R4" s="575"/>
      <c r="S4" s="575"/>
      <c r="T4" s="575"/>
      <c r="U4" s="575"/>
      <c r="V4" s="575"/>
      <c r="W4" s="575"/>
      <c r="X4" s="575"/>
      <c r="Y4" s="575"/>
      <c r="Z4" s="575"/>
      <c r="AA4" s="575"/>
      <c r="AB4" s="575"/>
      <c r="AC4" s="575"/>
      <c r="AD4" s="575"/>
      <c r="AE4" s="575"/>
      <c r="AF4" s="575"/>
      <c r="AG4" s="575"/>
      <c r="AH4" s="575"/>
      <c r="AI4" s="575"/>
      <c r="AJ4" s="575"/>
      <c r="AK4" s="575"/>
      <c r="AL4" s="575"/>
      <c r="AM4" s="575"/>
      <c r="AN4" s="575"/>
      <c r="AO4" s="575"/>
      <c r="AP4" s="575"/>
      <c r="AQ4" s="575"/>
      <c r="AR4" s="575"/>
      <c r="AS4" s="575"/>
      <c r="AT4" s="575"/>
      <c r="AU4" s="575"/>
      <c r="AV4" s="575"/>
      <c r="AW4" s="575"/>
      <c r="AX4" s="575"/>
      <c r="AY4" s="575"/>
      <c r="AZ4" s="575"/>
      <c r="BA4" s="575"/>
      <c r="BB4" s="575"/>
      <c r="BC4" s="575"/>
      <c r="BD4" s="575"/>
      <c r="BE4" s="575"/>
      <c r="BF4" s="575"/>
      <c r="BG4" s="575"/>
      <c r="BH4" s="575"/>
      <c r="BI4" s="575"/>
      <c r="BJ4" s="575"/>
      <c r="BK4" s="575"/>
      <c r="BL4" s="575"/>
      <c r="BM4" s="575"/>
      <c r="BR4" s="574"/>
    </row>
    <row r="5" spans="1:70" s="573" customFormat="1" ht="3.75" customHeight="1" x14ac:dyDescent="0.3">
      <c r="A5" s="575"/>
      <c r="B5" s="575"/>
      <c r="C5" s="575"/>
      <c r="D5" s="575"/>
      <c r="E5" s="575"/>
      <c r="F5" s="575"/>
      <c r="G5" s="575"/>
      <c r="H5" s="575"/>
      <c r="I5" s="575"/>
      <c r="J5" s="575"/>
      <c r="K5" s="575"/>
      <c r="L5" s="575"/>
      <c r="M5" s="575"/>
      <c r="N5" s="575"/>
      <c r="O5" s="575"/>
      <c r="P5" s="575"/>
      <c r="Q5" s="575"/>
      <c r="R5" s="575"/>
      <c r="S5" s="575"/>
      <c r="T5" s="575"/>
      <c r="U5" s="575"/>
      <c r="V5" s="575"/>
      <c r="W5" s="575"/>
      <c r="X5" s="575"/>
      <c r="Y5" s="575"/>
      <c r="Z5" s="575"/>
      <c r="AA5" s="575"/>
      <c r="AB5" s="575"/>
      <c r="AC5" s="575"/>
      <c r="AD5" s="575"/>
      <c r="AE5" s="575"/>
      <c r="AF5" s="575"/>
      <c r="AG5" s="575"/>
      <c r="AH5" s="575"/>
      <c r="AI5" s="575"/>
      <c r="AJ5" s="575"/>
      <c r="AK5" s="575"/>
      <c r="AL5" s="575"/>
      <c r="AM5" s="575"/>
      <c r="AN5" s="575"/>
      <c r="AO5" s="575"/>
      <c r="AP5" s="575"/>
      <c r="AQ5" s="575"/>
      <c r="AR5" s="575"/>
      <c r="AS5" s="575"/>
      <c r="AT5" s="575"/>
      <c r="AU5" s="575"/>
      <c r="AV5" s="575"/>
      <c r="AW5" s="575"/>
      <c r="AX5" s="575"/>
      <c r="AY5" s="575"/>
      <c r="AZ5" s="575"/>
      <c r="BA5" s="575"/>
      <c r="BB5" s="575"/>
      <c r="BC5" s="575"/>
      <c r="BD5" s="575"/>
      <c r="BE5" s="575"/>
      <c r="BF5" s="575"/>
      <c r="BG5" s="575"/>
      <c r="BH5" s="575"/>
      <c r="BI5" s="575"/>
      <c r="BJ5" s="575"/>
      <c r="BK5" s="575"/>
      <c r="BL5" s="575"/>
      <c r="BM5" s="575"/>
      <c r="BR5" s="574"/>
    </row>
    <row r="6" spans="1:70" s="573" customFormat="1" ht="3.75" customHeight="1" x14ac:dyDescent="0.3">
      <c r="A6" s="575"/>
      <c r="B6" s="575"/>
      <c r="C6" s="576" t="str">
        <f>BTP_CORRIGIDO!E11</f>
        <v>7-JUB-27HP-ESS</v>
      </c>
      <c r="D6" s="577"/>
      <c r="E6" s="577"/>
      <c r="F6" s="577"/>
      <c r="G6" s="577"/>
      <c r="H6" s="577"/>
      <c r="I6" s="577"/>
      <c r="J6" s="577"/>
      <c r="K6" s="577"/>
      <c r="L6" s="575"/>
      <c r="M6" s="575"/>
      <c r="N6" s="575"/>
      <c r="O6" s="575"/>
      <c r="P6" s="575"/>
      <c r="Q6" s="575"/>
      <c r="R6" s="575"/>
      <c r="S6" s="575"/>
      <c r="T6" s="575"/>
      <c r="U6" s="575"/>
      <c r="V6" s="575"/>
      <c r="W6" s="575"/>
      <c r="X6" s="575"/>
      <c r="Y6" s="575"/>
      <c r="Z6" s="575"/>
      <c r="AA6" s="577" t="s">
        <v>1105</v>
      </c>
      <c r="AB6" s="577"/>
      <c r="AC6" s="575"/>
      <c r="AD6" s="575"/>
      <c r="AE6" s="575"/>
      <c r="AF6" s="575"/>
      <c r="AG6" s="575"/>
      <c r="AH6" s="575"/>
      <c r="AI6" s="575"/>
      <c r="AJ6" s="575"/>
      <c r="AK6" s="575"/>
      <c r="AL6" s="575"/>
      <c r="AM6" s="575"/>
      <c r="AN6" s="575"/>
      <c r="AO6" s="575"/>
      <c r="AP6" s="575"/>
      <c r="AQ6" s="575"/>
      <c r="AR6" s="575"/>
      <c r="AS6" s="575"/>
      <c r="AT6" s="575"/>
      <c r="AU6" s="575"/>
      <c r="AV6" s="575"/>
      <c r="AW6" s="575"/>
      <c r="AX6" s="575"/>
      <c r="AY6" s="575"/>
      <c r="AZ6" s="575"/>
      <c r="BA6" s="575"/>
      <c r="BB6" s="575"/>
      <c r="BC6" s="575"/>
      <c r="BD6" s="575"/>
      <c r="BE6" s="575"/>
      <c r="BF6" s="575"/>
      <c r="BG6" s="575"/>
      <c r="BH6" s="575"/>
      <c r="BI6" s="575"/>
      <c r="BJ6" s="575"/>
      <c r="BK6" s="575"/>
      <c r="BL6" s="575"/>
      <c r="BM6" s="575"/>
      <c r="BR6" s="574"/>
    </row>
    <row r="7" spans="1:70" s="573" customFormat="1" ht="3.75" customHeight="1" x14ac:dyDescent="0.3">
      <c r="A7" s="575"/>
      <c r="B7" s="575"/>
      <c r="C7" s="577"/>
      <c r="D7" s="577"/>
      <c r="E7" s="577"/>
      <c r="F7" s="577"/>
      <c r="G7" s="577"/>
      <c r="H7" s="577"/>
      <c r="I7" s="577"/>
      <c r="J7" s="577"/>
      <c r="K7" s="577"/>
      <c r="L7" s="575"/>
      <c r="M7" s="575"/>
      <c r="N7" s="575"/>
      <c r="O7" s="575"/>
      <c r="P7" s="575"/>
      <c r="Q7" s="575"/>
      <c r="R7" s="575"/>
      <c r="S7" s="575"/>
      <c r="T7" s="575"/>
      <c r="U7" s="575"/>
      <c r="V7" s="575"/>
      <c r="W7" s="575"/>
      <c r="X7" s="575"/>
      <c r="Y7" s="575"/>
      <c r="Z7" s="575"/>
      <c r="AA7" s="577"/>
      <c r="AB7" s="577"/>
      <c r="AC7" s="575"/>
      <c r="AD7" s="575"/>
      <c r="AE7" s="575"/>
      <c r="AF7" s="575"/>
      <c r="AG7" s="575"/>
      <c r="AH7" s="575"/>
      <c r="AI7" s="575"/>
      <c r="AJ7" s="575"/>
      <c r="AK7" s="575"/>
      <c r="AL7" s="575"/>
      <c r="AM7" s="575"/>
      <c r="AN7" s="575"/>
      <c r="AO7" s="575"/>
      <c r="AP7" s="575"/>
      <c r="AQ7" s="575"/>
      <c r="AR7" s="575"/>
      <c r="AS7" s="575"/>
      <c r="AT7" s="575"/>
      <c r="AU7" s="575"/>
      <c r="AV7" s="575"/>
      <c r="AW7" s="575"/>
      <c r="AX7" s="575"/>
      <c r="AY7" s="575"/>
      <c r="AZ7" s="575"/>
      <c r="BA7" s="575"/>
      <c r="BB7" s="575"/>
      <c r="BC7" s="575"/>
      <c r="BD7" s="575"/>
      <c r="BE7" s="575"/>
      <c r="BF7" s="575"/>
      <c r="BG7" s="575"/>
      <c r="BH7" s="575"/>
      <c r="BI7" s="575"/>
      <c r="BJ7" s="575"/>
      <c r="BK7" s="575"/>
      <c r="BL7" s="575"/>
      <c r="BM7" s="575"/>
      <c r="BR7" s="574"/>
    </row>
    <row r="8" spans="1:70" s="573" customFormat="1" ht="3.75" customHeight="1" x14ac:dyDescent="0.3">
      <c r="A8" s="575"/>
      <c r="B8" s="575"/>
      <c r="C8" s="577"/>
      <c r="D8" s="577"/>
      <c r="E8" s="577"/>
      <c r="F8" s="577"/>
      <c r="G8" s="577"/>
      <c r="H8" s="577"/>
      <c r="I8" s="577"/>
      <c r="J8" s="577"/>
      <c r="K8" s="577"/>
      <c r="L8" s="575"/>
      <c r="M8" s="575"/>
      <c r="N8" s="575"/>
      <c r="O8" s="575"/>
      <c r="P8" s="575"/>
      <c r="Q8" s="575"/>
      <c r="R8" s="575"/>
      <c r="S8" s="575"/>
      <c r="T8" s="575"/>
      <c r="U8" s="575"/>
      <c r="V8" s="575"/>
      <c r="W8" s="575"/>
      <c r="X8" s="575"/>
      <c r="Y8" s="575"/>
      <c r="Z8" s="575"/>
      <c r="AA8" s="577"/>
      <c r="AB8" s="577"/>
      <c r="AC8" s="575"/>
      <c r="AD8" s="575"/>
      <c r="AE8" s="575"/>
      <c r="AF8" s="575"/>
      <c r="AG8" s="575"/>
      <c r="AH8" s="575"/>
      <c r="AI8" s="575"/>
      <c r="AJ8" s="575"/>
      <c r="AK8" s="575"/>
      <c r="AL8" s="575"/>
      <c r="AM8" s="575"/>
      <c r="AN8" s="575"/>
      <c r="AO8" s="575"/>
      <c r="AP8" s="575"/>
      <c r="AQ8" s="575"/>
      <c r="AR8" s="575"/>
      <c r="AS8" s="575"/>
      <c r="AT8" s="575"/>
      <c r="AU8" s="575"/>
      <c r="AV8" s="575"/>
      <c r="AW8" s="575"/>
      <c r="AX8" s="575"/>
      <c r="AY8" s="575"/>
      <c r="AZ8" s="575"/>
      <c r="BA8" s="575"/>
      <c r="BB8" s="575"/>
      <c r="BC8" s="575"/>
      <c r="BD8" s="575"/>
      <c r="BE8" s="575"/>
      <c r="BF8" s="575"/>
      <c r="BG8" s="575"/>
      <c r="BH8" s="575"/>
      <c r="BI8" s="575"/>
      <c r="BJ8" s="575"/>
      <c r="BK8" s="575"/>
      <c r="BL8" s="575"/>
      <c r="BM8" s="575"/>
      <c r="BR8" s="574"/>
    </row>
    <row r="9" spans="1:70" s="573" customFormat="1" ht="3.75" customHeight="1" x14ac:dyDescent="0.3">
      <c r="A9" s="575"/>
      <c r="B9" s="575"/>
      <c r="C9" s="577"/>
      <c r="D9" s="577"/>
      <c r="E9" s="577"/>
      <c r="F9" s="577"/>
      <c r="G9" s="577"/>
      <c r="H9" s="577"/>
      <c r="I9" s="577"/>
      <c r="J9" s="577"/>
      <c r="K9" s="577"/>
      <c r="L9" s="575"/>
      <c r="M9" s="575"/>
      <c r="N9" s="575"/>
      <c r="O9" s="575"/>
      <c r="P9" s="575"/>
      <c r="Q9" s="575"/>
      <c r="R9" s="575"/>
      <c r="S9" s="575"/>
      <c r="T9" s="575"/>
      <c r="U9" s="575"/>
      <c r="V9" s="575"/>
      <c r="W9" s="575"/>
      <c r="X9" s="575"/>
      <c r="Y9" s="575"/>
      <c r="Z9" s="575"/>
      <c r="AA9" s="575"/>
      <c r="AB9" s="575"/>
      <c r="AC9" s="575"/>
      <c r="AD9" s="575"/>
      <c r="AE9" s="575"/>
      <c r="AF9" s="575"/>
      <c r="AG9" s="575"/>
      <c r="AH9" s="575"/>
      <c r="AI9" s="575"/>
      <c r="AJ9" s="575"/>
      <c r="AK9" s="575"/>
      <c r="AL9" s="575"/>
      <c r="AM9" s="575"/>
      <c r="AN9" s="575"/>
      <c r="AO9" s="575"/>
      <c r="AP9" s="575"/>
      <c r="AQ9" s="575"/>
      <c r="AR9" s="575"/>
      <c r="AS9" s="575"/>
      <c r="AT9" s="575"/>
      <c r="AU9" s="575"/>
      <c r="AV9" s="575"/>
      <c r="AW9" s="575"/>
      <c r="AX9" s="575"/>
      <c r="AY9" s="575"/>
      <c r="AZ9" s="575"/>
      <c r="BA9" s="575"/>
      <c r="BB9" s="575"/>
      <c r="BC9" s="575"/>
      <c r="BD9" s="575"/>
      <c r="BE9" s="575"/>
      <c r="BF9" s="575"/>
      <c r="BG9" s="575"/>
      <c r="BH9" s="575"/>
      <c r="BI9" s="575"/>
      <c r="BJ9" s="575"/>
      <c r="BK9" s="575"/>
      <c r="BL9" s="575"/>
      <c r="BM9" s="575"/>
      <c r="BR9" s="574"/>
    </row>
    <row r="10" spans="1:70" s="573" customFormat="1" ht="3.75" customHeight="1" x14ac:dyDescent="0.3">
      <c r="A10" s="575"/>
      <c r="B10" s="575"/>
      <c r="C10" s="575"/>
      <c r="D10" s="575"/>
      <c r="E10" s="575"/>
      <c r="F10" s="575"/>
      <c r="G10" s="575"/>
      <c r="H10" s="575"/>
      <c r="I10" s="575"/>
      <c r="J10" s="575"/>
      <c r="K10" s="575"/>
      <c r="L10" s="575"/>
      <c r="M10" s="575"/>
      <c r="N10" s="575"/>
      <c r="O10" s="575"/>
      <c r="P10" s="575"/>
      <c r="Q10" s="575"/>
      <c r="R10" s="575"/>
      <c r="S10" s="575"/>
      <c r="T10" s="575"/>
      <c r="U10" s="575"/>
      <c r="V10" s="575"/>
      <c r="W10" s="575"/>
      <c r="X10" s="575"/>
      <c r="Y10" s="575"/>
      <c r="Z10" s="575"/>
      <c r="AA10" s="575"/>
      <c r="AB10" s="575"/>
      <c r="AC10" s="575"/>
      <c r="AD10" s="575"/>
      <c r="AE10" s="575"/>
      <c r="AF10" s="575"/>
      <c r="AG10" s="575"/>
      <c r="AH10" s="575"/>
      <c r="AI10" s="575"/>
      <c r="AJ10" s="575"/>
      <c r="AK10" s="575"/>
      <c r="AL10" s="575"/>
      <c r="AM10" s="575"/>
      <c r="AN10" s="575"/>
      <c r="AO10" s="575"/>
      <c r="AP10" s="575"/>
      <c r="AQ10" s="575"/>
      <c r="AR10" s="575"/>
      <c r="AS10" s="575"/>
      <c r="AT10" s="575"/>
      <c r="AU10" s="575"/>
      <c r="AV10" s="575"/>
      <c r="AW10" s="575"/>
      <c r="AX10" s="575"/>
      <c r="AY10" s="575"/>
      <c r="AZ10" s="575"/>
      <c r="BA10" s="575"/>
      <c r="BB10" s="575"/>
      <c r="BC10" s="575"/>
      <c r="BD10" s="575"/>
      <c r="BE10" s="575"/>
      <c r="BF10" s="575"/>
      <c r="BG10" s="575"/>
      <c r="BH10" s="575"/>
      <c r="BI10" s="575"/>
      <c r="BJ10" s="575"/>
      <c r="BK10" s="575"/>
      <c r="BL10" s="575"/>
      <c r="BM10" s="575"/>
      <c r="BR10" s="574"/>
    </row>
    <row r="11" spans="1:70" s="573" customFormat="1" ht="3.75" customHeight="1" x14ac:dyDescent="0.3">
      <c r="A11" s="575"/>
      <c r="B11" s="575"/>
      <c r="C11" s="575"/>
      <c r="D11" s="575"/>
      <c r="E11" s="575"/>
      <c r="F11" s="575"/>
      <c r="G11" s="575"/>
      <c r="H11" s="575"/>
      <c r="I11" s="575"/>
      <c r="J11" s="575"/>
      <c r="K11" s="575"/>
      <c r="L11" s="575"/>
      <c r="M11" s="575"/>
      <c r="N11" s="575"/>
      <c r="O11" s="575"/>
      <c r="P11" s="575"/>
      <c r="Q11" s="575"/>
      <c r="R11" s="575"/>
      <c r="S11" s="575"/>
      <c r="T11" s="575"/>
      <c r="U11" s="575"/>
      <c r="V11" s="575"/>
      <c r="W11" s="575"/>
      <c r="X11" s="575"/>
      <c r="Y11" s="575"/>
      <c r="Z11" s="575"/>
      <c r="AA11" s="575"/>
      <c r="AB11" s="575"/>
      <c r="AC11" s="575"/>
      <c r="AD11" s="575"/>
      <c r="AE11" s="575"/>
      <c r="AF11" s="575"/>
      <c r="AG11" s="575"/>
      <c r="AH11" s="575"/>
      <c r="AI11" s="575"/>
      <c r="AJ11" s="575"/>
      <c r="AK11" s="575"/>
      <c r="AL11" s="575"/>
      <c r="AM11" s="575"/>
      <c r="AN11" s="575"/>
      <c r="AO11" s="575"/>
      <c r="AP11" s="575"/>
      <c r="AQ11" s="575"/>
      <c r="AR11" s="575"/>
      <c r="AS11" s="575"/>
      <c r="AT11" s="575"/>
      <c r="AU11" s="575"/>
      <c r="AV11" s="575"/>
      <c r="AW11" s="575"/>
      <c r="AX11" s="575"/>
      <c r="AY11" s="575"/>
      <c r="AZ11" s="575"/>
      <c r="BA11" s="575"/>
      <c r="BB11" s="575"/>
      <c r="BC11" s="575"/>
      <c r="BD11" s="575"/>
      <c r="BE11" s="575"/>
      <c r="BF11" s="575"/>
      <c r="BG11" s="575"/>
      <c r="BH11" s="575"/>
      <c r="BI11" s="575"/>
      <c r="BJ11" s="575"/>
      <c r="BK11" s="575"/>
      <c r="BL11" s="575"/>
      <c r="BM11" s="575"/>
      <c r="BR11" s="574"/>
    </row>
    <row r="12" spans="1:70" s="573" customFormat="1" ht="3.75" customHeight="1" x14ac:dyDescent="0.3">
      <c r="A12" s="575"/>
      <c r="B12" s="575"/>
      <c r="C12" s="575"/>
      <c r="D12" s="575"/>
      <c r="E12" s="575"/>
      <c r="F12" s="575"/>
      <c r="G12" s="575"/>
      <c r="H12" s="575"/>
      <c r="I12" s="575"/>
      <c r="J12" s="575"/>
      <c r="K12" s="575"/>
      <c r="L12" s="575"/>
      <c r="M12" s="575"/>
      <c r="N12" s="575"/>
      <c r="O12" s="575"/>
      <c r="P12" s="575"/>
      <c r="Q12" s="575"/>
      <c r="R12" s="575"/>
      <c r="S12" s="575"/>
      <c r="T12" s="575"/>
      <c r="U12" s="575"/>
      <c r="V12" s="575"/>
      <c r="W12" s="575"/>
      <c r="X12" s="575"/>
      <c r="Y12" s="575"/>
      <c r="Z12" s="575"/>
      <c r="AA12" s="575"/>
      <c r="AB12" s="575"/>
      <c r="AC12" s="575"/>
      <c r="AD12" s="575"/>
      <c r="AE12" s="575"/>
      <c r="AF12" s="575"/>
      <c r="AG12" s="575"/>
      <c r="AH12" s="575"/>
      <c r="AI12" s="575"/>
      <c r="AJ12" s="575"/>
      <c r="AK12" s="575"/>
      <c r="AL12" s="575"/>
      <c r="AM12" s="575"/>
      <c r="AN12" s="575"/>
      <c r="AO12" s="575"/>
      <c r="AP12" s="575"/>
      <c r="AQ12" s="575"/>
      <c r="AR12" s="575"/>
      <c r="AS12" s="575"/>
      <c r="AT12" s="575"/>
      <c r="AU12" s="575"/>
      <c r="AV12" s="575"/>
      <c r="AW12" s="575"/>
      <c r="AX12" s="575"/>
      <c r="AY12" s="575"/>
      <c r="AZ12" s="575"/>
      <c r="BA12" s="575"/>
      <c r="BB12" s="575"/>
      <c r="BC12" s="575"/>
      <c r="BD12" s="575"/>
      <c r="BE12" s="575"/>
      <c r="BF12" s="575"/>
      <c r="BG12" s="575"/>
      <c r="BH12" s="575"/>
      <c r="BI12" s="575"/>
      <c r="BJ12" s="575"/>
      <c r="BK12" s="575"/>
      <c r="BL12" s="575"/>
      <c r="BM12" s="575"/>
      <c r="BR12" s="574"/>
    </row>
    <row r="13" spans="1:70" s="573" customFormat="1" ht="3.75" customHeight="1" x14ac:dyDescent="0.3">
      <c r="A13" s="575"/>
      <c r="B13" s="575"/>
      <c r="C13" s="575"/>
      <c r="D13" s="575"/>
      <c r="E13" s="575"/>
      <c r="F13" s="575"/>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c r="AM13" s="575"/>
      <c r="AN13" s="575"/>
      <c r="AO13" s="575"/>
      <c r="AP13" s="575"/>
      <c r="AQ13" s="575"/>
      <c r="AR13" s="575"/>
      <c r="AS13" s="575"/>
      <c r="AT13" s="575"/>
      <c r="AU13" s="575"/>
      <c r="AV13" s="575"/>
      <c r="AW13" s="575"/>
      <c r="AX13" s="575"/>
      <c r="AY13" s="575"/>
      <c r="AZ13" s="575"/>
      <c r="BA13" s="575"/>
      <c r="BB13" s="575"/>
      <c r="BC13" s="575"/>
      <c r="BD13" s="575"/>
      <c r="BE13" s="575"/>
      <c r="BF13" s="575"/>
      <c r="BG13" s="575"/>
      <c r="BH13" s="575"/>
      <c r="BI13" s="575"/>
      <c r="BJ13" s="575"/>
      <c r="BK13" s="575"/>
      <c r="BL13" s="575"/>
      <c r="BM13" s="575"/>
      <c r="BR13" s="574"/>
    </row>
    <row r="14" spans="1:70" s="573" customFormat="1" ht="3.75" customHeight="1" x14ac:dyDescent="0.3">
      <c r="A14" s="575"/>
      <c r="B14" s="575"/>
      <c r="C14" s="575"/>
      <c r="D14" s="575"/>
      <c r="E14" s="575"/>
      <c r="F14" s="575"/>
      <c r="G14" s="575"/>
      <c r="H14" s="575"/>
      <c r="I14" s="575"/>
      <c r="J14" s="575"/>
      <c r="K14" s="575"/>
      <c r="L14" s="575"/>
      <c r="M14" s="575"/>
      <c r="N14" s="575"/>
      <c r="O14" s="575"/>
      <c r="P14" s="575"/>
      <c r="Q14" s="575"/>
      <c r="R14" s="575"/>
      <c r="S14" s="575"/>
      <c r="T14" s="575"/>
      <c r="U14" s="575"/>
      <c r="V14" s="575"/>
      <c r="W14" s="575"/>
      <c r="X14" s="575"/>
      <c r="Y14" s="575"/>
      <c r="Z14" s="575"/>
      <c r="AA14" s="575"/>
      <c r="AB14" s="575"/>
      <c r="AC14" s="575"/>
      <c r="AD14" s="575"/>
      <c r="AE14" s="575"/>
      <c r="AF14" s="575"/>
      <c r="AG14" s="575"/>
      <c r="AH14" s="575"/>
      <c r="AI14" s="575"/>
      <c r="AJ14" s="575"/>
      <c r="AK14" s="575"/>
      <c r="AL14" s="575"/>
      <c r="AM14" s="575"/>
      <c r="AN14" s="575"/>
      <c r="AO14" s="575"/>
      <c r="AP14" s="575"/>
      <c r="AQ14" s="575"/>
      <c r="AR14" s="575"/>
      <c r="AS14" s="575"/>
      <c r="AT14" s="575"/>
      <c r="AU14" s="575"/>
      <c r="AV14" s="575"/>
      <c r="AW14" s="575"/>
      <c r="AX14" s="575"/>
      <c r="AY14" s="575"/>
      <c r="AZ14" s="575"/>
      <c r="BA14" s="575"/>
      <c r="BB14" s="575"/>
      <c r="BC14" s="575"/>
      <c r="BD14" s="575"/>
      <c r="BE14" s="575"/>
      <c r="BF14" s="575"/>
      <c r="BG14" s="575"/>
      <c r="BH14" s="575"/>
      <c r="BI14" s="575"/>
      <c r="BJ14" s="575"/>
      <c r="BK14" s="575"/>
      <c r="BL14" s="575"/>
      <c r="BM14" s="575"/>
      <c r="BR14" s="574"/>
    </row>
    <row r="15" spans="1:70" s="573" customFormat="1" ht="3.75" customHeight="1" x14ac:dyDescent="0.3">
      <c r="A15" s="575"/>
      <c r="B15" s="575"/>
      <c r="C15" s="575"/>
      <c r="D15" s="575"/>
      <c r="E15" s="575"/>
      <c r="F15" s="575"/>
      <c r="G15" s="575"/>
      <c r="H15" s="575"/>
      <c r="I15" s="575"/>
      <c r="J15" s="575"/>
      <c r="K15" s="575"/>
      <c r="L15" s="575"/>
      <c r="M15" s="575"/>
      <c r="N15" s="575"/>
      <c r="O15" s="575"/>
      <c r="P15" s="575"/>
      <c r="Q15" s="575"/>
      <c r="R15" s="575"/>
      <c r="S15" s="575"/>
      <c r="T15" s="575"/>
      <c r="U15" s="575"/>
      <c r="V15" s="575"/>
      <c r="W15" s="575"/>
      <c r="X15" s="575"/>
      <c r="Y15" s="575"/>
      <c r="Z15" s="575"/>
      <c r="AA15" s="575"/>
      <c r="AB15" s="575"/>
      <c r="AC15" s="575"/>
      <c r="AD15" s="575"/>
      <c r="AE15" s="575"/>
      <c r="AF15" s="575"/>
      <c r="AG15" s="575"/>
      <c r="AH15" s="575"/>
      <c r="AI15" s="575"/>
      <c r="AJ15" s="575"/>
      <c r="AK15" s="575"/>
      <c r="AL15" s="575"/>
      <c r="AM15" s="575"/>
      <c r="AN15" s="575"/>
      <c r="AO15" s="575"/>
      <c r="AP15" s="575"/>
      <c r="AQ15" s="575"/>
      <c r="AR15" s="575"/>
      <c r="AS15" s="575"/>
      <c r="AT15" s="575"/>
      <c r="AU15" s="575"/>
      <c r="AV15" s="575"/>
      <c r="AW15" s="575"/>
      <c r="AX15" s="575"/>
      <c r="AY15" s="575"/>
      <c r="AZ15" s="575"/>
      <c r="BA15" s="575"/>
      <c r="BB15" s="575"/>
      <c r="BC15" s="575"/>
      <c r="BD15" s="575"/>
      <c r="BE15" s="575"/>
      <c r="BF15" s="575"/>
      <c r="BG15" s="575"/>
      <c r="BH15" s="575"/>
      <c r="BI15" s="575"/>
      <c r="BJ15" s="575"/>
      <c r="BK15" s="575"/>
      <c r="BL15" s="575"/>
      <c r="BM15" s="575"/>
      <c r="BR15" s="574"/>
    </row>
    <row r="16" spans="1:70" s="573" customFormat="1" ht="3.75" customHeight="1" x14ac:dyDescent="0.3">
      <c r="A16" s="575"/>
      <c r="B16" s="578" t="s">
        <v>1106</v>
      </c>
      <c r="C16" s="578"/>
      <c r="D16" s="578"/>
      <c r="E16" s="578"/>
      <c r="F16" s="578"/>
      <c r="G16" s="578"/>
      <c r="H16" s="575"/>
      <c r="I16" s="579" t="s">
        <v>1106</v>
      </c>
      <c r="J16" s="579"/>
      <c r="K16" s="579"/>
      <c r="L16" s="575"/>
      <c r="M16" s="575"/>
      <c r="N16" s="575"/>
      <c r="O16" s="575"/>
      <c r="P16" s="577" t="s">
        <v>1107</v>
      </c>
      <c r="Q16" s="577"/>
      <c r="R16" s="575"/>
      <c r="S16" s="575"/>
      <c r="T16" s="575"/>
      <c r="U16" s="575"/>
      <c r="V16" s="575"/>
      <c r="W16" s="575"/>
      <c r="X16" s="575"/>
      <c r="Y16" s="575"/>
      <c r="Z16" s="575"/>
      <c r="AA16" s="575"/>
      <c r="AB16" s="575"/>
      <c r="AC16" s="575"/>
      <c r="AD16" s="575"/>
      <c r="AE16" s="575"/>
      <c r="AF16" s="575"/>
      <c r="AG16" s="575"/>
      <c r="AH16" s="575"/>
      <c r="AI16" s="575"/>
      <c r="AJ16" s="575"/>
      <c r="AK16" s="575"/>
      <c r="AL16" s="575"/>
      <c r="AM16" s="575"/>
      <c r="AN16" s="575"/>
      <c r="AO16" s="575"/>
      <c r="AP16" s="575"/>
      <c r="AQ16" s="575"/>
      <c r="AR16" s="575"/>
      <c r="AS16" s="575"/>
      <c r="AT16" s="575"/>
      <c r="AU16" s="575"/>
      <c r="AV16" s="575"/>
      <c r="AW16" s="575"/>
      <c r="AX16" s="575"/>
      <c r="AY16" s="575"/>
      <c r="AZ16" s="575"/>
      <c r="BA16" s="575"/>
      <c r="BB16" s="575"/>
      <c r="BC16" s="575"/>
      <c r="BD16" s="575"/>
      <c r="BE16" s="575"/>
      <c r="BF16" s="575"/>
      <c r="BG16" s="575"/>
      <c r="BH16" s="575"/>
      <c r="BI16" s="575"/>
      <c r="BJ16" s="575"/>
      <c r="BK16" s="575"/>
      <c r="BL16" s="575"/>
      <c r="BM16" s="575"/>
      <c r="BR16" s="574"/>
    </row>
    <row r="17" spans="1:70" s="573" customFormat="1" ht="3.75" customHeight="1" x14ac:dyDescent="0.3">
      <c r="A17" s="575"/>
      <c r="B17" s="578"/>
      <c r="C17" s="578"/>
      <c r="D17" s="578"/>
      <c r="E17" s="578"/>
      <c r="F17" s="578"/>
      <c r="G17" s="578"/>
      <c r="H17" s="575"/>
      <c r="I17" s="579"/>
      <c r="J17" s="579"/>
      <c r="K17" s="579"/>
      <c r="L17" s="575"/>
      <c r="M17" s="575"/>
      <c r="N17" s="575"/>
      <c r="O17" s="575"/>
      <c r="P17" s="577"/>
      <c r="Q17" s="577"/>
      <c r="R17" s="575"/>
      <c r="S17" s="575"/>
      <c r="T17" s="575"/>
      <c r="U17" s="575"/>
      <c r="V17" s="575"/>
      <c r="W17" s="575"/>
      <c r="X17" s="575"/>
      <c r="Y17" s="575"/>
      <c r="Z17" s="575"/>
      <c r="AA17" s="575"/>
      <c r="AB17" s="575"/>
      <c r="AC17" s="575"/>
      <c r="AD17" s="575"/>
      <c r="AE17" s="575"/>
      <c r="AF17" s="575"/>
      <c r="AG17" s="575"/>
      <c r="AH17" s="575"/>
      <c r="AI17" s="575"/>
      <c r="AJ17" s="575"/>
      <c r="AK17" s="575"/>
      <c r="AL17" s="575"/>
      <c r="AM17" s="575"/>
      <c r="AN17" s="575"/>
      <c r="AO17" s="575"/>
      <c r="AP17" s="575"/>
      <c r="AQ17" s="575"/>
      <c r="AR17" s="575"/>
      <c r="AS17" s="575"/>
      <c r="AT17" s="575"/>
      <c r="AU17" s="575"/>
      <c r="AV17" s="575"/>
      <c r="AW17" s="575"/>
      <c r="AX17" s="575"/>
      <c r="AY17" s="575"/>
      <c r="AZ17" s="575"/>
      <c r="BA17" s="575"/>
      <c r="BB17" s="575"/>
      <c r="BC17" s="575"/>
      <c r="BD17" s="575"/>
      <c r="BE17" s="575"/>
      <c r="BF17" s="575"/>
      <c r="BG17" s="575"/>
      <c r="BH17" s="575"/>
      <c r="BI17" s="575"/>
      <c r="BJ17" s="575"/>
      <c r="BK17" s="575"/>
      <c r="BL17" s="575"/>
      <c r="BM17" s="575"/>
      <c r="BR17" s="580"/>
    </row>
    <row r="18" spans="1:70" s="573" customFormat="1" ht="3.75" customHeight="1" x14ac:dyDescent="0.3">
      <c r="A18" s="575"/>
      <c r="B18" s="578"/>
      <c r="C18" s="578"/>
      <c r="D18" s="578"/>
      <c r="E18" s="578"/>
      <c r="F18" s="578"/>
      <c r="G18" s="578"/>
      <c r="H18" s="575"/>
      <c r="I18" s="579"/>
      <c r="J18" s="579"/>
      <c r="K18" s="579"/>
      <c r="L18" s="575"/>
      <c r="M18" s="575"/>
      <c r="N18" s="575"/>
      <c r="O18" s="575"/>
      <c r="P18" s="577"/>
      <c r="Q18" s="577"/>
      <c r="R18" s="575"/>
      <c r="S18" s="575"/>
      <c r="T18" s="575"/>
      <c r="U18" s="575"/>
      <c r="V18" s="575"/>
      <c r="W18" s="575"/>
      <c r="X18" s="575"/>
      <c r="Y18" s="575"/>
      <c r="Z18" s="575"/>
      <c r="AA18" s="575"/>
      <c r="AB18" s="575"/>
      <c r="AC18" s="575"/>
      <c r="AD18" s="575"/>
      <c r="AE18" s="575"/>
      <c r="AF18" s="575"/>
      <c r="AG18" s="575"/>
      <c r="AH18" s="575"/>
      <c r="AI18" s="575"/>
      <c r="AJ18" s="575"/>
      <c r="AK18" s="575"/>
      <c r="AL18" s="575"/>
      <c r="AM18" s="575"/>
      <c r="AN18" s="575"/>
      <c r="AO18" s="575"/>
      <c r="AP18" s="575"/>
      <c r="AQ18" s="575"/>
      <c r="AR18" s="575"/>
      <c r="AS18" s="575"/>
      <c r="AT18" s="575"/>
      <c r="AU18" s="575"/>
      <c r="AV18" s="575"/>
      <c r="AW18" s="575"/>
      <c r="AX18" s="575"/>
      <c r="AY18" s="575"/>
      <c r="AZ18" s="575"/>
      <c r="BA18" s="575"/>
      <c r="BB18" s="575"/>
      <c r="BC18" s="575"/>
      <c r="BD18" s="575"/>
      <c r="BE18" s="575"/>
      <c r="BF18" s="575"/>
      <c r="BG18" s="575"/>
      <c r="BH18" s="575"/>
      <c r="BI18" s="575"/>
      <c r="BJ18" s="575"/>
      <c r="BK18" s="575"/>
      <c r="BL18" s="575"/>
      <c r="BM18" s="575"/>
      <c r="BR18" s="574"/>
    </row>
    <row r="19" spans="1:70" s="573" customFormat="1" ht="3.75" customHeight="1" x14ac:dyDescent="0.3">
      <c r="A19" s="575"/>
      <c r="B19" s="578"/>
      <c r="C19" s="578"/>
      <c r="D19" s="578"/>
      <c r="E19" s="578"/>
      <c r="F19" s="578"/>
      <c r="G19" s="578"/>
      <c r="H19" s="575"/>
      <c r="I19" s="579"/>
      <c r="J19" s="579"/>
      <c r="K19" s="579"/>
      <c r="L19" s="575"/>
      <c r="M19" s="575"/>
      <c r="N19" s="575"/>
      <c r="O19" s="575"/>
      <c r="P19" s="577"/>
      <c r="Q19" s="577"/>
      <c r="R19" s="575"/>
      <c r="S19" s="575"/>
      <c r="T19" s="575"/>
      <c r="U19" s="575"/>
      <c r="V19" s="575"/>
      <c r="W19" s="575"/>
      <c r="X19" s="575"/>
      <c r="Y19" s="575"/>
      <c r="Z19" s="575"/>
      <c r="AA19" s="575"/>
      <c r="AB19" s="575"/>
      <c r="AC19" s="575"/>
      <c r="AD19" s="575"/>
      <c r="AE19" s="575"/>
      <c r="AF19" s="575"/>
      <c r="AG19" s="575"/>
      <c r="AH19" s="575"/>
      <c r="AI19" s="575"/>
      <c r="AJ19" s="575"/>
      <c r="AK19" s="575"/>
      <c r="AL19" s="575"/>
      <c r="AM19" s="575"/>
      <c r="AN19" s="575"/>
      <c r="AO19" s="575"/>
      <c r="AP19" s="575"/>
      <c r="AQ19" s="575"/>
      <c r="AR19" s="575"/>
      <c r="AS19" s="575"/>
      <c r="AT19" s="575"/>
      <c r="AU19" s="575"/>
      <c r="AV19" s="575"/>
      <c r="AW19" s="575"/>
      <c r="AX19" s="575"/>
      <c r="AY19" s="575"/>
      <c r="AZ19" s="575"/>
      <c r="BA19" s="575"/>
      <c r="BB19" s="575"/>
      <c r="BC19" s="575"/>
      <c r="BD19" s="575"/>
      <c r="BE19" s="575"/>
      <c r="BF19" s="575"/>
      <c r="BG19" s="575"/>
      <c r="BH19" s="575"/>
      <c r="BI19" s="575"/>
      <c r="BJ19" s="575"/>
      <c r="BK19" s="575"/>
      <c r="BL19" s="575"/>
      <c r="BM19" s="575"/>
      <c r="BR19" s="574"/>
    </row>
    <row r="20" spans="1:70" s="573" customFormat="1" ht="3.75" customHeight="1" x14ac:dyDescent="0.3">
      <c r="A20" s="575"/>
      <c r="B20" s="575"/>
      <c r="C20" s="575"/>
      <c r="D20" s="575"/>
      <c r="E20" s="575"/>
      <c r="F20" s="575"/>
      <c r="G20" s="575"/>
      <c r="H20" s="575"/>
      <c r="I20" s="575"/>
      <c r="J20" s="575"/>
      <c r="K20" s="575"/>
      <c r="L20" s="575"/>
      <c r="M20" s="575"/>
      <c r="N20" s="575"/>
      <c r="O20" s="575"/>
      <c r="P20" s="575"/>
      <c r="Q20" s="575"/>
      <c r="R20" s="575"/>
      <c r="S20" s="575"/>
      <c r="T20" s="575"/>
      <c r="U20" s="575"/>
      <c r="V20" s="575"/>
      <c r="W20" s="575"/>
      <c r="X20" s="575"/>
      <c r="Y20" s="575"/>
      <c r="Z20" s="575"/>
      <c r="AA20" s="575"/>
      <c r="AB20" s="575"/>
      <c r="AC20" s="575"/>
      <c r="AD20" s="575"/>
      <c r="AE20" s="575"/>
      <c r="AF20" s="575"/>
      <c r="AG20" s="575"/>
      <c r="AH20" s="575"/>
      <c r="AI20" s="575"/>
      <c r="AJ20" s="575"/>
      <c r="AK20" s="575"/>
      <c r="AL20" s="575"/>
      <c r="AM20" s="575"/>
      <c r="AN20" s="575"/>
      <c r="AO20" s="575"/>
      <c r="AP20" s="575"/>
      <c r="AQ20" s="575"/>
      <c r="AR20" s="575"/>
      <c r="AS20" s="575"/>
      <c r="AT20" s="575"/>
      <c r="AU20" s="575"/>
      <c r="AV20" s="575"/>
      <c r="AW20" s="575"/>
      <c r="AX20" s="575"/>
      <c r="AY20" s="575"/>
      <c r="AZ20" s="575"/>
      <c r="BA20" s="575"/>
      <c r="BB20" s="575"/>
      <c r="BC20" s="575"/>
      <c r="BD20" s="575"/>
      <c r="BE20" s="575"/>
      <c r="BF20" s="575"/>
      <c r="BG20" s="575"/>
      <c r="BH20" s="575"/>
      <c r="BI20" s="575"/>
      <c r="BJ20" s="575"/>
      <c r="BK20" s="575"/>
      <c r="BL20" s="575"/>
      <c r="BM20" s="575"/>
      <c r="BR20" s="574"/>
    </row>
    <row r="21" spans="1:70" s="573" customFormat="1" ht="3.75" customHeight="1" x14ac:dyDescent="0.3">
      <c r="A21" s="575"/>
      <c r="B21" s="575"/>
      <c r="C21" s="575"/>
      <c r="D21" s="575"/>
      <c r="E21" s="575"/>
      <c r="F21" s="575"/>
      <c r="G21" s="575"/>
      <c r="H21" s="575"/>
      <c r="I21" s="575"/>
      <c r="J21" s="575"/>
      <c r="K21" s="575"/>
      <c r="L21" s="575"/>
      <c r="M21" s="575"/>
      <c r="N21" s="575"/>
      <c r="O21" s="575"/>
      <c r="P21" s="575"/>
      <c r="Q21" s="575"/>
      <c r="R21" s="575"/>
      <c r="S21" s="575"/>
      <c r="T21" s="575"/>
      <c r="U21" s="575"/>
      <c r="V21" s="575"/>
      <c r="W21" s="575"/>
      <c r="X21" s="575"/>
      <c r="Y21" s="575"/>
      <c r="Z21" s="575"/>
      <c r="AA21" s="575"/>
      <c r="AB21" s="575"/>
      <c r="AC21" s="575"/>
      <c r="AD21" s="575"/>
      <c r="AE21" s="575"/>
      <c r="AF21" s="575"/>
      <c r="AG21" s="575"/>
      <c r="AH21" s="575"/>
      <c r="AI21" s="575"/>
      <c r="AJ21" s="575"/>
      <c r="AK21" s="575"/>
      <c r="AL21" s="575"/>
      <c r="AM21" s="575"/>
      <c r="AN21" s="575"/>
      <c r="AO21" s="575"/>
      <c r="AP21" s="575"/>
      <c r="AQ21" s="575"/>
      <c r="AR21" s="575"/>
      <c r="AS21" s="575"/>
      <c r="AT21" s="575"/>
      <c r="AU21" s="575"/>
      <c r="AV21" s="575"/>
      <c r="AW21" s="575"/>
      <c r="AX21" s="575"/>
      <c r="AY21" s="575"/>
      <c r="AZ21" s="575"/>
      <c r="BA21" s="575"/>
      <c r="BB21" s="575"/>
      <c r="BC21" s="575"/>
      <c r="BD21" s="575"/>
      <c r="BE21" s="575"/>
      <c r="BF21" s="575"/>
      <c r="BG21" s="575"/>
      <c r="BH21" s="575"/>
      <c r="BI21" s="575"/>
      <c r="BJ21" s="575"/>
      <c r="BK21" s="575"/>
      <c r="BL21" s="575"/>
      <c r="BM21" s="575"/>
      <c r="BR21" s="574"/>
    </row>
    <row r="22" spans="1:70" s="573" customFormat="1" ht="3.75" customHeight="1" x14ac:dyDescent="0.3">
      <c r="A22" s="575"/>
      <c r="B22" s="575"/>
      <c r="C22" s="575"/>
      <c r="D22" s="575"/>
      <c r="E22" s="575"/>
      <c r="F22" s="575"/>
      <c r="G22" s="575"/>
      <c r="H22" s="575"/>
      <c r="I22" s="575"/>
      <c r="J22" s="575"/>
      <c r="K22" s="575"/>
      <c r="L22" s="575"/>
      <c r="M22" s="575"/>
      <c r="N22" s="575"/>
      <c r="O22" s="575"/>
      <c r="P22" s="575"/>
      <c r="Q22" s="575"/>
      <c r="R22" s="575"/>
      <c r="S22" s="575"/>
      <c r="T22" s="575"/>
      <c r="U22" s="575"/>
      <c r="V22" s="575"/>
      <c r="W22" s="575"/>
      <c r="X22" s="575"/>
      <c r="Y22" s="575"/>
      <c r="Z22" s="575"/>
      <c r="AA22" s="575"/>
      <c r="AB22" s="575"/>
      <c r="AC22" s="575"/>
      <c r="AD22" s="575"/>
      <c r="AE22" s="575"/>
      <c r="AF22" s="575"/>
      <c r="AG22" s="575"/>
      <c r="AH22" s="575"/>
      <c r="AI22" s="575"/>
      <c r="AJ22" s="575"/>
      <c r="AK22" s="575"/>
      <c r="AL22" s="575"/>
      <c r="AM22" s="575"/>
      <c r="AN22" s="575"/>
      <c r="AO22" s="575"/>
      <c r="AP22" s="575"/>
      <c r="AQ22" s="575"/>
      <c r="AR22" s="575"/>
      <c r="AS22" s="575"/>
      <c r="AT22" s="575"/>
      <c r="AU22" s="575"/>
      <c r="AV22" s="575"/>
      <c r="AW22" s="575"/>
      <c r="AX22" s="575"/>
      <c r="AY22" s="575"/>
      <c r="AZ22" s="575"/>
      <c r="BA22" s="575"/>
      <c r="BB22" s="575"/>
      <c r="BC22" s="575"/>
      <c r="BD22" s="575"/>
      <c r="BE22" s="575"/>
      <c r="BF22" s="575"/>
      <c r="BG22" s="575"/>
      <c r="BH22" s="575"/>
      <c r="BI22" s="575"/>
      <c r="BJ22" s="575"/>
      <c r="BK22" s="575"/>
      <c r="BL22" s="575"/>
      <c r="BM22" s="575"/>
      <c r="BR22" s="580"/>
    </row>
    <row r="23" spans="1:70" s="573" customFormat="1" ht="3.75" customHeight="1" x14ac:dyDescent="0.3">
      <c r="A23" s="575"/>
      <c r="B23" s="575"/>
      <c r="C23" s="575"/>
      <c r="D23" s="575"/>
      <c r="E23" s="575"/>
      <c r="F23" s="575"/>
      <c r="G23" s="575"/>
      <c r="H23" s="575"/>
      <c r="I23" s="575"/>
      <c r="J23" s="575"/>
      <c r="K23" s="575"/>
      <c r="L23" s="575"/>
      <c r="M23" s="575"/>
      <c r="N23" s="575"/>
      <c r="O23" s="575"/>
      <c r="P23" s="575"/>
      <c r="Q23" s="575"/>
      <c r="R23" s="575"/>
      <c r="S23" s="575"/>
      <c r="T23" s="575"/>
      <c r="U23" s="575"/>
      <c r="V23" s="575"/>
      <c r="W23" s="575"/>
      <c r="X23" s="575"/>
      <c r="Y23" s="575"/>
      <c r="Z23" s="575"/>
      <c r="AA23" s="575"/>
      <c r="AB23" s="575"/>
      <c r="AC23" s="575"/>
      <c r="AD23" s="575"/>
      <c r="AE23" s="575"/>
      <c r="AF23" s="575"/>
      <c r="AG23" s="575"/>
      <c r="AH23" s="575"/>
      <c r="AI23" s="575"/>
      <c r="AJ23" s="575"/>
      <c r="AK23" s="575"/>
      <c r="AL23" s="575"/>
      <c r="AM23" s="575"/>
      <c r="AN23" s="575"/>
      <c r="AO23" s="575"/>
      <c r="AP23" s="575"/>
      <c r="AQ23" s="575"/>
      <c r="AR23" s="575"/>
      <c r="AS23" s="575"/>
      <c r="AT23" s="575"/>
      <c r="AU23" s="575"/>
      <c r="AV23" s="575"/>
      <c r="AW23" s="575"/>
      <c r="AX23" s="575"/>
      <c r="AY23" s="575"/>
      <c r="AZ23" s="575"/>
      <c r="BA23" s="575"/>
      <c r="BB23" s="575"/>
      <c r="BC23" s="575"/>
      <c r="BD23" s="575"/>
      <c r="BE23" s="575"/>
      <c r="BF23" s="575"/>
      <c r="BG23" s="575"/>
      <c r="BH23" s="575"/>
      <c r="BI23" s="575"/>
      <c r="BJ23" s="575"/>
      <c r="BK23" s="575"/>
      <c r="BL23" s="575"/>
      <c r="BM23" s="575"/>
      <c r="BR23" s="574"/>
    </row>
    <row r="24" spans="1:70" s="573" customFormat="1" ht="3.75" customHeight="1" x14ac:dyDescent="0.3">
      <c r="A24" s="575"/>
      <c r="B24" s="575"/>
      <c r="C24" s="575"/>
      <c r="D24" s="575"/>
      <c r="E24" s="575"/>
      <c r="F24" s="575"/>
      <c r="G24" s="575"/>
      <c r="H24" s="575"/>
      <c r="I24" s="575"/>
      <c r="J24" s="575"/>
      <c r="K24" s="575"/>
      <c r="L24" s="575"/>
      <c r="M24" s="575"/>
      <c r="N24" s="575"/>
      <c r="O24" s="575"/>
      <c r="P24" s="575"/>
      <c r="Q24" s="575"/>
      <c r="R24" s="575"/>
      <c r="S24" s="575"/>
      <c r="T24" s="575"/>
      <c r="U24" s="575"/>
      <c r="V24" s="575"/>
      <c r="W24" s="575"/>
      <c r="X24" s="575"/>
      <c r="Y24" s="575"/>
      <c r="Z24" s="575"/>
      <c r="AA24" s="575"/>
      <c r="AB24" s="575"/>
      <c r="AC24" s="575"/>
      <c r="AD24" s="575"/>
      <c r="AE24" s="575"/>
      <c r="AF24" s="575"/>
      <c r="AG24" s="575"/>
      <c r="AH24" s="575"/>
      <c r="AI24" s="575"/>
      <c r="AJ24" s="575"/>
      <c r="AK24" s="575"/>
      <c r="AL24" s="575"/>
      <c r="AM24" s="575"/>
      <c r="AN24" s="575"/>
      <c r="AO24" s="575"/>
      <c r="AP24" s="575"/>
      <c r="AQ24" s="575"/>
      <c r="AR24" s="575"/>
      <c r="AS24" s="575"/>
      <c r="AT24" s="575"/>
      <c r="AU24" s="575"/>
      <c r="AV24" s="575"/>
      <c r="AW24" s="575"/>
      <c r="AX24" s="575"/>
      <c r="AY24" s="575"/>
      <c r="AZ24" s="575"/>
      <c r="BA24" s="575"/>
      <c r="BB24" s="575"/>
      <c r="BC24" s="575"/>
      <c r="BD24" s="575"/>
      <c r="BE24" s="575"/>
      <c r="BF24" s="575"/>
      <c r="BG24" s="575"/>
      <c r="BH24" s="575"/>
      <c r="BI24" s="575"/>
      <c r="BJ24" s="575"/>
      <c r="BK24" s="575"/>
      <c r="BL24" s="575"/>
      <c r="BM24" s="575"/>
      <c r="BR24" s="574"/>
    </row>
    <row r="25" spans="1:70" s="573" customFormat="1" ht="3.75" customHeight="1" x14ac:dyDescent="0.3">
      <c r="A25" s="575"/>
      <c r="B25" s="575"/>
      <c r="C25" s="575"/>
      <c r="D25" s="575"/>
      <c r="E25" s="575"/>
      <c r="F25" s="575"/>
      <c r="G25" s="575"/>
      <c r="H25" s="575"/>
      <c r="I25" s="575"/>
      <c r="J25" s="575"/>
      <c r="K25" s="575"/>
      <c r="L25" s="575"/>
      <c r="M25" s="575"/>
      <c r="N25" s="575"/>
      <c r="O25" s="575"/>
      <c r="P25" s="575"/>
      <c r="Q25" s="575"/>
      <c r="R25" s="575"/>
      <c r="S25" s="575"/>
      <c r="T25" s="575"/>
      <c r="U25" s="575"/>
      <c r="V25" s="575"/>
      <c r="W25" s="575"/>
      <c r="X25" s="575"/>
      <c r="Y25" s="575"/>
      <c r="Z25" s="575"/>
      <c r="AA25" s="575"/>
      <c r="AB25" s="575"/>
      <c r="AC25" s="575"/>
      <c r="AD25" s="575"/>
      <c r="AE25" s="575"/>
      <c r="AF25" s="575"/>
      <c r="AG25" s="575"/>
      <c r="AH25" s="575"/>
      <c r="AI25" s="575"/>
      <c r="AJ25" s="575"/>
      <c r="AK25" s="575"/>
      <c r="AL25" s="575"/>
      <c r="AM25" s="575"/>
      <c r="AN25" s="575"/>
      <c r="AO25" s="575"/>
      <c r="AP25" s="575"/>
      <c r="AQ25" s="575"/>
      <c r="AR25" s="575"/>
      <c r="AS25" s="575"/>
      <c r="AT25" s="575"/>
      <c r="AU25" s="575"/>
      <c r="AV25" s="575"/>
      <c r="AW25" s="575"/>
      <c r="AX25" s="575"/>
      <c r="AY25" s="575"/>
      <c r="AZ25" s="575"/>
      <c r="BA25" s="575"/>
      <c r="BB25" s="575"/>
      <c r="BC25" s="575"/>
      <c r="BD25" s="575"/>
      <c r="BE25" s="575"/>
      <c r="BF25" s="575"/>
      <c r="BG25" s="575"/>
      <c r="BH25" s="575"/>
      <c r="BI25" s="575"/>
      <c r="BJ25" s="575"/>
      <c r="BK25" s="575"/>
      <c r="BL25" s="575"/>
      <c r="BM25" s="575"/>
      <c r="BR25" s="574"/>
    </row>
    <row r="26" spans="1:70" s="573" customFormat="1" ht="3.75" customHeight="1" x14ac:dyDescent="0.3">
      <c r="A26" s="575"/>
      <c r="B26" s="575"/>
      <c r="C26" s="575"/>
      <c r="D26" s="575"/>
      <c r="E26" s="575"/>
      <c r="F26" s="575"/>
      <c r="G26" s="575"/>
      <c r="H26" s="575"/>
      <c r="I26" s="575"/>
      <c r="J26" s="575"/>
      <c r="K26" s="575"/>
      <c r="L26" s="575"/>
      <c r="M26" s="575"/>
      <c r="N26" s="575"/>
      <c r="O26" s="575"/>
      <c r="P26" s="575"/>
      <c r="Q26" s="575"/>
      <c r="R26" s="575"/>
      <c r="S26" s="575"/>
      <c r="T26" s="575"/>
      <c r="U26" s="575"/>
      <c r="V26" s="575"/>
      <c r="W26" s="575"/>
      <c r="X26" s="575"/>
      <c r="Y26" s="575"/>
      <c r="Z26" s="575"/>
      <c r="AA26" s="575"/>
      <c r="AB26" s="575"/>
      <c r="AC26" s="575"/>
      <c r="AD26" s="575"/>
      <c r="AE26" s="575"/>
      <c r="AF26" s="575"/>
      <c r="AG26" s="575"/>
      <c r="AH26" s="575"/>
      <c r="AI26" s="575"/>
      <c r="AJ26" s="575"/>
      <c r="AK26" s="575"/>
      <c r="AL26" s="575"/>
      <c r="AM26" s="575"/>
      <c r="AN26" s="575"/>
      <c r="AO26" s="575"/>
      <c r="AP26" s="575"/>
      <c r="AQ26" s="575"/>
      <c r="AR26" s="575"/>
      <c r="AS26" s="575"/>
      <c r="AT26" s="575"/>
      <c r="AU26" s="575"/>
      <c r="AV26" s="575"/>
      <c r="AW26" s="575"/>
      <c r="AX26" s="575"/>
      <c r="AY26" s="575"/>
      <c r="AZ26" s="575"/>
      <c r="BA26" s="575"/>
      <c r="BB26" s="575"/>
      <c r="BC26" s="575"/>
      <c r="BD26" s="575"/>
      <c r="BE26" s="575"/>
      <c r="BF26" s="575"/>
      <c r="BG26" s="575"/>
      <c r="BH26" s="575"/>
      <c r="BI26" s="575"/>
      <c r="BJ26" s="575"/>
      <c r="BK26" s="575"/>
      <c r="BL26" s="575"/>
      <c r="BM26" s="575"/>
      <c r="BR26" s="574"/>
    </row>
    <row r="27" spans="1:70" s="573" customFormat="1" ht="3.75" customHeight="1" x14ac:dyDescent="0.3">
      <c r="A27" s="575"/>
      <c r="B27" s="575"/>
      <c r="C27" s="575"/>
      <c r="D27" s="575"/>
      <c r="E27" s="575"/>
      <c r="F27" s="575"/>
      <c r="G27" s="575"/>
      <c r="H27" s="575"/>
      <c r="I27" s="575"/>
      <c r="J27" s="575"/>
      <c r="K27" s="575"/>
      <c r="L27" s="575"/>
      <c r="M27" s="575"/>
      <c r="N27" s="575"/>
      <c r="O27" s="575"/>
      <c r="P27" s="575"/>
      <c r="Q27" s="575"/>
      <c r="R27" s="575"/>
      <c r="S27" s="575"/>
      <c r="T27" s="575"/>
      <c r="U27" s="575"/>
      <c r="V27" s="575"/>
      <c r="W27" s="575"/>
      <c r="X27" s="575"/>
      <c r="Y27" s="575"/>
      <c r="Z27" s="575"/>
      <c r="AA27" s="575"/>
      <c r="AB27" s="575"/>
      <c r="AC27" s="575"/>
      <c r="AD27" s="575"/>
      <c r="AE27" s="575"/>
      <c r="AF27" s="575"/>
      <c r="AG27" s="575"/>
      <c r="AH27" s="575"/>
      <c r="AI27" s="575"/>
      <c r="AJ27" s="575"/>
      <c r="AK27" s="575"/>
      <c r="AL27" s="575"/>
      <c r="AM27" s="575"/>
      <c r="AN27" s="575"/>
      <c r="AO27" s="575"/>
      <c r="AP27" s="575"/>
      <c r="AQ27" s="575"/>
      <c r="AR27" s="575"/>
      <c r="AS27" s="575"/>
      <c r="AT27" s="575"/>
      <c r="AU27" s="575"/>
      <c r="AV27" s="575"/>
      <c r="AW27" s="575"/>
      <c r="AX27" s="575"/>
      <c r="AY27" s="575"/>
      <c r="AZ27" s="575"/>
      <c r="BA27" s="575"/>
      <c r="BB27" s="575"/>
      <c r="BC27" s="575"/>
      <c r="BD27" s="575"/>
      <c r="BE27" s="575"/>
      <c r="BF27" s="575"/>
      <c r="BG27" s="575"/>
      <c r="BH27" s="575"/>
      <c r="BI27" s="575"/>
      <c r="BJ27" s="575"/>
      <c r="BK27" s="575"/>
      <c r="BL27" s="575"/>
      <c r="BM27" s="575"/>
      <c r="BR27" s="574"/>
    </row>
    <row r="28" spans="1:70" s="573" customFormat="1" ht="3.75" customHeight="1" x14ac:dyDescent="0.3">
      <c r="A28" s="575"/>
      <c r="B28" s="575"/>
      <c r="C28" s="575"/>
      <c r="D28" s="575"/>
      <c r="E28" s="575"/>
      <c r="F28" s="575"/>
      <c r="G28" s="575"/>
      <c r="H28" s="575"/>
      <c r="I28" s="575"/>
      <c r="J28" s="575"/>
      <c r="K28" s="575"/>
      <c r="L28" s="575"/>
      <c r="M28" s="575"/>
      <c r="N28" s="575"/>
      <c r="O28" s="575"/>
      <c r="P28" s="575"/>
      <c r="Q28" s="575"/>
      <c r="R28" s="575"/>
      <c r="S28" s="575"/>
      <c r="T28" s="575"/>
      <c r="U28" s="575"/>
      <c r="V28" s="575"/>
      <c r="W28" s="575"/>
      <c r="X28" s="575"/>
      <c r="Y28" s="575"/>
      <c r="Z28" s="575"/>
      <c r="AA28" s="575"/>
      <c r="AB28" s="575"/>
      <c r="AC28" s="575"/>
      <c r="AD28" s="575"/>
      <c r="AE28" s="575"/>
      <c r="AF28" s="575"/>
      <c r="AG28" s="575"/>
      <c r="AH28" s="575"/>
      <c r="AI28" s="575"/>
      <c r="AJ28" s="575"/>
      <c r="AK28" s="575"/>
      <c r="AL28" s="575"/>
      <c r="AM28" s="575"/>
      <c r="AN28" s="575"/>
      <c r="AO28" s="575"/>
      <c r="AP28" s="575"/>
      <c r="AQ28" s="575"/>
      <c r="AR28" s="575"/>
      <c r="AS28" s="575"/>
      <c r="AT28" s="575"/>
      <c r="AU28" s="575"/>
      <c r="AV28" s="575"/>
      <c r="AW28" s="575"/>
      <c r="AX28" s="575"/>
      <c r="AY28" s="575"/>
      <c r="AZ28" s="575"/>
      <c r="BA28" s="575"/>
      <c r="BB28" s="575"/>
      <c r="BC28" s="575"/>
      <c r="BD28" s="575"/>
      <c r="BE28" s="575"/>
      <c r="BF28" s="575"/>
      <c r="BG28" s="575"/>
      <c r="BH28" s="575"/>
      <c r="BI28" s="575"/>
      <c r="BJ28" s="575"/>
      <c r="BK28" s="575"/>
      <c r="BL28" s="575"/>
      <c r="BM28" s="575"/>
      <c r="BR28" s="574"/>
    </row>
    <row r="29" spans="1:70" s="573" customFormat="1" ht="3.75" customHeight="1" x14ac:dyDescent="0.3">
      <c r="A29" s="575"/>
      <c r="B29" s="575"/>
      <c r="C29" s="575"/>
      <c r="D29" s="575"/>
      <c r="E29" s="575"/>
      <c r="F29" s="575"/>
      <c r="G29" s="575"/>
      <c r="H29" s="575"/>
      <c r="I29" s="575"/>
      <c r="J29" s="575"/>
      <c r="K29" s="575"/>
      <c r="L29" s="575"/>
      <c r="M29" s="575"/>
      <c r="N29" s="575"/>
      <c r="O29" s="575"/>
      <c r="P29" s="575"/>
      <c r="Q29" s="575"/>
      <c r="R29" s="575"/>
      <c r="S29" s="575"/>
      <c r="T29" s="575"/>
      <c r="U29" s="575"/>
      <c r="V29" s="575"/>
      <c r="W29" s="575"/>
      <c r="X29" s="575"/>
      <c r="Y29" s="575"/>
      <c r="Z29" s="575"/>
      <c r="AA29" s="575"/>
      <c r="AB29" s="575"/>
      <c r="AC29" s="575"/>
      <c r="AD29" s="575"/>
      <c r="AE29" s="575"/>
      <c r="AF29" s="575"/>
      <c r="AG29" s="575"/>
      <c r="AH29" s="575"/>
      <c r="AI29" s="575"/>
      <c r="AJ29" s="575"/>
      <c r="AK29" s="575"/>
      <c r="AL29" s="575"/>
      <c r="AM29" s="575"/>
      <c r="AN29" s="575"/>
      <c r="AO29" s="575"/>
      <c r="AP29" s="575"/>
      <c r="AQ29" s="575"/>
      <c r="AR29" s="575"/>
      <c r="AS29" s="575"/>
      <c r="AT29" s="575"/>
      <c r="AU29" s="575"/>
      <c r="AV29" s="575"/>
      <c r="AW29" s="575"/>
      <c r="AX29" s="575"/>
      <c r="AY29" s="575"/>
      <c r="AZ29" s="575"/>
      <c r="BA29" s="575"/>
      <c r="BB29" s="575"/>
      <c r="BC29" s="575"/>
      <c r="BD29" s="575"/>
      <c r="BE29" s="575"/>
      <c r="BF29" s="575"/>
      <c r="BG29" s="575"/>
      <c r="BH29" s="575"/>
      <c r="BI29" s="575"/>
      <c r="BJ29" s="575"/>
      <c r="BK29" s="575"/>
      <c r="BL29" s="575"/>
      <c r="BM29" s="575"/>
      <c r="BR29" s="574"/>
    </row>
    <row r="30" spans="1:70" s="573" customFormat="1" ht="3.75" customHeight="1" x14ac:dyDescent="0.3">
      <c r="A30" s="575"/>
      <c r="B30" s="575"/>
      <c r="C30" s="575"/>
      <c r="D30" s="575"/>
      <c r="E30" s="575"/>
      <c r="F30" s="575"/>
      <c r="G30" s="575"/>
      <c r="H30" s="575"/>
      <c r="I30" s="575"/>
      <c r="J30" s="575"/>
      <c r="K30" s="575"/>
      <c r="L30" s="575"/>
      <c r="M30" s="575"/>
      <c r="N30" s="575"/>
      <c r="O30" s="575"/>
      <c r="P30" s="575"/>
      <c r="Q30" s="575"/>
      <c r="R30" s="575"/>
      <c r="S30" s="575"/>
      <c r="T30" s="575"/>
      <c r="U30" s="575"/>
      <c r="V30" s="575"/>
      <c r="W30" s="575"/>
      <c r="X30" s="575"/>
      <c r="Y30" s="575"/>
      <c r="Z30" s="575"/>
      <c r="AA30" s="575"/>
      <c r="AB30" s="575"/>
      <c r="AC30" s="575"/>
      <c r="AD30" s="575"/>
      <c r="AE30" s="575"/>
      <c r="AF30" s="575"/>
      <c r="AG30" s="575"/>
      <c r="AH30" s="575"/>
      <c r="AI30" s="575"/>
      <c r="AJ30" s="575"/>
      <c r="AK30" s="575"/>
      <c r="AL30" s="575"/>
      <c r="AM30" s="575"/>
      <c r="AN30" s="575"/>
      <c r="AO30" s="575"/>
      <c r="AP30" s="575"/>
      <c r="AQ30" s="575"/>
      <c r="AR30" s="575"/>
      <c r="AS30" s="575"/>
      <c r="AT30" s="575"/>
      <c r="AU30" s="575"/>
      <c r="AV30" s="575"/>
      <c r="AW30" s="575"/>
      <c r="AX30" s="575"/>
      <c r="AY30" s="575"/>
      <c r="AZ30" s="575"/>
      <c r="BA30" s="575"/>
      <c r="BB30" s="575"/>
      <c r="BC30" s="575"/>
      <c r="BD30" s="575"/>
      <c r="BE30" s="575"/>
      <c r="BF30" s="575"/>
      <c r="BG30" s="575"/>
      <c r="BH30" s="575"/>
      <c r="BI30" s="575"/>
      <c r="BJ30" s="575"/>
      <c r="BK30" s="575"/>
      <c r="BL30" s="575"/>
      <c r="BM30" s="575"/>
      <c r="BR30" s="574"/>
    </row>
    <row r="31" spans="1:70" s="573" customFormat="1" ht="3.75" customHeight="1" x14ac:dyDescent="0.3">
      <c r="A31" s="575"/>
      <c r="B31" s="575"/>
      <c r="C31" s="575"/>
      <c r="D31" s="575"/>
      <c r="E31" s="575"/>
      <c r="F31" s="575"/>
      <c r="G31" s="575"/>
      <c r="H31" s="575"/>
      <c r="I31" s="575"/>
      <c r="J31" s="575"/>
      <c r="K31" s="575"/>
      <c r="L31" s="575"/>
      <c r="M31" s="575"/>
      <c r="N31" s="575"/>
      <c r="O31" s="575"/>
      <c r="P31" s="575"/>
      <c r="Q31" s="575"/>
      <c r="R31" s="575"/>
      <c r="S31" s="575"/>
      <c r="T31" s="575"/>
      <c r="U31" s="575"/>
      <c r="V31" s="575"/>
      <c r="W31" s="575"/>
      <c r="X31" s="575"/>
      <c r="Y31" s="575"/>
      <c r="Z31" s="575"/>
      <c r="AA31" s="575"/>
      <c r="AB31" s="575"/>
      <c r="AC31" s="575"/>
      <c r="AD31" s="575"/>
      <c r="AE31" s="575"/>
      <c r="AF31" s="575"/>
      <c r="AG31" s="575"/>
      <c r="AH31" s="575"/>
      <c r="AI31" s="575"/>
      <c r="AJ31" s="575"/>
      <c r="AK31" s="575"/>
      <c r="AL31" s="575"/>
      <c r="AM31" s="575"/>
      <c r="AN31" s="575"/>
      <c r="AO31" s="575"/>
      <c r="AP31" s="575"/>
      <c r="AQ31" s="575"/>
      <c r="AR31" s="575"/>
      <c r="AS31" s="575"/>
      <c r="AT31" s="575"/>
      <c r="AU31" s="575"/>
      <c r="AV31" s="575"/>
      <c r="AW31" s="575"/>
      <c r="AX31" s="575"/>
      <c r="AY31" s="575"/>
      <c r="AZ31" s="575"/>
      <c r="BA31" s="575"/>
      <c r="BB31" s="575"/>
      <c r="BC31" s="575"/>
      <c r="BD31" s="575"/>
      <c r="BE31" s="575"/>
      <c r="BF31" s="575"/>
      <c r="BG31" s="575"/>
      <c r="BH31" s="575"/>
      <c r="BI31" s="575"/>
      <c r="BJ31" s="575"/>
      <c r="BK31" s="575"/>
      <c r="BL31" s="575"/>
      <c r="BM31" s="575"/>
      <c r="BR31" s="574"/>
    </row>
    <row r="32" spans="1:70" s="573" customFormat="1" ht="3.75" customHeight="1" x14ac:dyDescent="0.3">
      <c r="A32" s="575"/>
      <c r="B32" s="575"/>
      <c r="C32" s="575"/>
      <c r="D32" s="575"/>
      <c r="E32" s="575"/>
      <c r="F32" s="575"/>
      <c r="G32" s="575"/>
      <c r="H32" s="575"/>
      <c r="I32" s="575"/>
      <c r="J32" s="575"/>
      <c r="K32" s="575"/>
      <c r="L32" s="575"/>
      <c r="M32" s="575"/>
      <c r="N32" s="575"/>
      <c r="O32" s="575"/>
      <c r="P32" s="575"/>
      <c r="Q32" s="575"/>
      <c r="R32" s="575"/>
      <c r="S32" s="575"/>
      <c r="T32" s="575"/>
      <c r="U32" s="575"/>
      <c r="V32" s="575"/>
      <c r="W32" s="575"/>
      <c r="X32" s="575"/>
      <c r="Y32" s="575"/>
      <c r="Z32" s="575"/>
      <c r="AA32" s="575"/>
      <c r="AB32" s="575"/>
      <c r="AC32" s="575"/>
      <c r="AD32" s="575"/>
      <c r="AE32" s="575"/>
      <c r="AF32" s="575"/>
      <c r="AG32" s="575"/>
      <c r="AH32" s="575"/>
      <c r="AI32" s="575"/>
      <c r="AJ32" s="575"/>
      <c r="AK32" s="575"/>
      <c r="AL32" s="575"/>
      <c r="AM32" s="575"/>
      <c r="AN32" s="575"/>
      <c r="AO32" s="575"/>
      <c r="AP32" s="575"/>
      <c r="AQ32" s="575"/>
      <c r="AR32" s="575"/>
      <c r="AS32" s="575"/>
      <c r="AT32" s="575"/>
      <c r="AU32" s="575"/>
      <c r="AV32" s="575"/>
      <c r="AW32" s="575"/>
      <c r="AX32" s="575"/>
      <c r="AY32" s="575"/>
      <c r="AZ32" s="575"/>
      <c r="BA32" s="575"/>
      <c r="BB32" s="575"/>
      <c r="BC32" s="575"/>
      <c r="BD32" s="575"/>
      <c r="BE32" s="575"/>
      <c r="BF32" s="575"/>
      <c r="BG32" s="575"/>
      <c r="BH32" s="575"/>
      <c r="BI32" s="575"/>
      <c r="BJ32" s="575"/>
      <c r="BK32" s="575"/>
      <c r="BL32" s="575"/>
      <c r="BM32" s="575"/>
      <c r="BR32" s="574"/>
    </row>
    <row r="33" spans="1:70" s="573" customFormat="1" ht="3.75" customHeight="1" x14ac:dyDescent="0.3">
      <c r="A33" s="575"/>
      <c r="B33" s="575"/>
      <c r="C33" s="575"/>
      <c r="D33" s="575"/>
      <c r="E33" s="575"/>
      <c r="F33" s="575"/>
      <c r="G33" s="575"/>
      <c r="H33" s="575"/>
      <c r="I33" s="575"/>
      <c r="J33" s="575"/>
      <c r="K33" s="575"/>
      <c r="L33" s="575"/>
      <c r="M33" s="575"/>
      <c r="N33" s="575"/>
      <c r="O33" s="575"/>
      <c r="P33" s="575"/>
      <c r="Q33" s="575"/>
      <c r="R33" s="575"/>
      <c r="S33" s="575"/>
      <c r="T33" s="575"/>
      <c r="U33" s="575"/>
      <c r="V33" s="575"/>
      <c r="W33" s="575"/>
      <c r="X33" s="575"/>
      <c r="Y33" s="575"/>
      <c r="Z33" s="575"/>
      <c r="AA33" s="575"/>
      <c r="AB33" s="575"/>
      <c r="AC33" s="575"/>
      <c r="AD33" s="575"/>
      <c r="AE33" s="575"/>
      <c r="AF33" s="575"/>
      <c r="AG33" s="575"/>
      <c r="AH33" s="575"/>
      <c r="AI33" s="575"/>
      <c r="AJ33" s="575"/>
      <c r="AK33" s="575"/>
      <c r="AL33" s="575"/>
      <c r="AM33" s="575"/>
      <c r="AN33" s="575"/>
      <c r="AO33" s="575"/>
      <c r="AP33" s="575"/>
      <c r="AQ33" s="575"/>
      <c r="AR33" s="575"/>
      <c r="AS33" s="575"/>
      <c r="AT33" s="575"/>
      <c r="AU33" s="575"/>
      <c r="AV33" s="575"/>
      <c r="AW33" s="575"/>
      <c r="AX33" s="575"/>
      <c r="AY33" s="575"/>
      <c r="AZ33" s="575"/>
      <c r="BA33" s="575"/>
      <c r="BB33" s="575"/>
      <c r="BC33" s="575"/>
      <c r="BD33" s="575"/>
      <c r="BE33" s="575"/>
      <c r="BF33" s="575"/>
      <c r="BG33" s="575"/>
      <c r="BH33" s="575"/>
      <c r="BI33" s="575"/>
      <c r="BJ33" s="575"/>
      <c r="BK33" s="575"/>
      <c r="BL33" s="575"/>
      <c r="BM33" s="575"/>
      <c r="BR33" s="574"/>
    </row>
    <row r="34" spans="1:70" s="573" customFormat="1" ht="3.75" customHeight="1" x14ac:dyDescent="0.3">
      <c r="A34" s="575"/>
      <c r="B34" s="575"/>
      <c r="C34" s="575"/>
      <c r="D34" s="575"/>
      <c r="E34" s="575"/>
      <c r="F34" s="575"/>
      <c r="G34" s="575"/>
      <c r="H34" s="575"/>
      <c r="I34" s="575"/>
      <c r="J34" s="575"/>
      <c r="K34" s="575"/>
      <c r="L34" s="575"/>
      <c r="M34" s="575"/>
      <c r="N34" s="575"/>
      <c r="O34" s="575"/>
      <c r="P34" s="575"/>
      <c r="Q34" s="575"/>
      <c r="R34" s="575"/>
      <c r="S34" s="575"/>
      <c r="T34" s="575"/>
      <c r="U34" s="575"/>
      <c r="V34" s="575"/>
      <c r="W34" s="575"/>
      <c r="X34" s="575"/>
      <c r="Y34" s="575"/>
      <c r="Z34" s="575"/>
      <c r="AA34" s="575"/>
      <c r="AB34" s="575"/>
      <c r="AC34" s="575"/>
      <c r="AD34" s="575"/>
      <c r="AE34" s="575"/>
      <c r="AF34" s="575"/>
      <c r="AG34" s="575"/>
      <c r="AH34" s="575"/>
      <c r="AI34" s="575"/>
      <c r="AJ34" s="575"/>
      <c r="AK34" s="575"/>
      <c r="AL34" s="575"/>
      <c r="AM34" s="575"/>
      <c r="AN34" s="575"/>
      <c r="AO34" s="575"/>
      <c r="AP34" s="575"/>
      <c r="AQ34" s="575"/>
      <c r="AR34" s="575"/>
      <c r="AS34" s="575"/>
      <c r="AT34" s="575"/>
      <c r="AU34" s="575"/>
      <c r="AV34" s="575"/>
      <c r="AW34" s="575"/>
      <c r="AX34" s="575"/>
      <c r="AY34" s="575"/>
      <c r="AZ34" s="575"/>
      <c r="BA34" s="575"/>
      <c r="BB34" s="575"/>
      <c r="BC34" s="575"/>
      <c r="BD34" s="575"/>
      <c r="BE34" s="575"/>
      <c r="BF34" s="575"/>
      <c r="BG34" s="575"/>
      <c r="BH34" s="575"/>
      <c r="BI34" s="575"/>
      <c r="BJ34" s="575"/>
      <c r="BK34" s="575"/>
      <c r="BL34" s="575"/>
      <c r="BM34" s="575"/>
      <c r="BR34" s="574"/>
    </row>
    <row r="35" spans="1:70" s="573" customFormat="1" ht="3.75" customHeight="1" x14ac:dyDescent="0.3">
      <c r="A35" s="575"/>
      <c r="B35" s="575"/>
      <c r="C35" s="575"/>
      <c r="D35" s="575"/>
      <c r="E35" s="575"/>
      <c r="F35" s="575"/>
      <c r="G35" s="575"/>
      <c r="H35" s="575"/>
      <c r="I35" s="575"/>
      <c r="J35" s="575"/>
      <c r="K35" s="575"/>
      <c r="L35" s="575"/>
      <c r="M35" s="575"/>
      <c r="N35" s="575"/>
      <c r="O35" s="575"/>
      <c r="P35" s="575"/>
      <c r="Q35" s="575"/>
      <c r="R35" s="575"/>
      <c r="S35" s="575"/>
      <c r="T35" s="575"/>
      <c r="U35" s="575"/>
      <c r="V35" s="575"/>
      <c r="W35" s="575"/>
      <c r="X35" s="575"/>
      <c r="Y35" s="575"/>
      <c r="Z35" s="575"/>
      <c r="AA35" s="575"/>
      <c r="AB35" s="575"/>
      <c r="AC35" s="575"/>
      <c r="AD35" s="575"/>
      <c r="AE35" s="575"/>
      <c r="AF35" s="575"/>
      <c r="AG35" s="575"/>
      <c r="AH35" s="575"/>
      <c r="AI35" s="575"/>
      <c r="AJ35" s="575"/>
      <c r="AK35" s="575"/>
      <c r="AL35" s="575"/>
      <c r="AM35" s="575"/>
      <c r="AN35" s="575"/>
      <c r="AO35" s="575"/>
      <c r="AP35" s="575"/>
      <c r="AQ35" s="575"/>
      <c r="AR35" s="575"/>
      <c r="AS35" s="575"/>
      <c r="AT35" s="575"/>
      <c r="AU35" s="575"/>
      <c r="AV35" s="575"/>
      <c r="AW35" s="575"/>
      <c r="AX35" s="575"/>
      <c r="AY35" s="575"/>
      <c r="AZ35" s="575"/>
      <c r="BA35" s="575"/>
      <c r="BB35" s="575"/>
      <c r="BC35" s="575"/>
      <c r="BD35" s="575"/>
      <c r="BE35" s="575"/>
      <c r="BF35" s="575"/>
      <c r="BG35" s="575"/>
      <c r="BH35" s="575"/>
      <c r="BI35" s="575"/>
      <c r="BJ35" s="575"/>
      <c r="BK35" s="575"/>
      <c r="BL35" s="575"/>
      <c r="BM35" s="575"/>
      <c r="BR35" s="574"/>
    </row>
    <row r="36" spans="1:70" s="573" customFormat="1" ht="3.75" customHeight="1" x14ac:dyDescent="0.3">
      <c r="A36" s="575"/>
      <c r="B36" s="575"/>
      <c r="C36" s="575"/>
      <c r="D36" s="575"/>
      <c r="E36" s="575"/>
      <c r="F36" s="575"/>
      <c r="G36" s="575"/>
      <c r="H36" s="575"/>
      <c r="I36" s="575"/>
      <c r="J36" s="575"/>
      <c r="K36" s="575"/>
      <c r="L36" s="575"/>
      <c r="M36" s="575"/>
      <c r="N36" s="575"/>
      <c r="O36" s="575"/>
      <c r="P36" s="575"/>
      <c r="Q36" s="575"/>
      <c r="R36" s="575"/>
      <c r="S36" s="575"/>
      <c r="T36" s="575"/>
      <c r="U36" s="575"/>
      <c r="V36" s="575"/>
      <c r="W36" s="575"/>
      <c r="X36" s="575"/>
      <c r="Y36" s="575"/>
      <c r="Z36" s="575"/>
      <c r="AA36" s="575"/>
      <c r="AB36" s="575"/>
      <c r="AC36" s="575"/>
      <c r="AD36" s="575"/>
      <c r="AE36" s="575"/>
      <c r="AF36" s="575"/>
      <c r="AG36" s="575"/>
      <c r="AH36" s="575"/>
      <c r="AI36" s="575"/>
      <c r="AJ36" s="575"/>
      <c r="AK36" s="575"/>
      <c r="AL36" s="575"/>
      <c r="AM36" s="575"/>
      <c r="AN36" s="575"/>
      <c r="AO36" s="575"/>
      <c r="AP36" s="575"/>
      <c r="AQ36" s="575"/>
      <c r="AR36" s="575"/>
      <c r="AS36" s="575"/>
      <c r="AT36" s="575"/>
      <c r="AU36" s="575"/>
      <c r="AV36" s="575"/>
      <c r="AW36" s="575"/>
      <c r="AX36" s="575"/>
      <c r="AY36" s="575"/>
      <c r="AZ36" s="575"/>
      <c r="BA36" s="575"/>
      <c r="BB36" s="575"/>
      <c r="BC36" s="575"/>
      <c r="BD36" s="575"/>
      <c r="BE36" s="575"/>
      <c r="BF36" s="575"/>
      <c r="BG36" s="575"/>
      <c r="BH36" s="575"/>
      <c r="BI36" s="575"/>
      <c r="BJ36" s="575"/>
      <c r="BK36" s="575"/>
      <c r="BL36" s="575"/>
      <c r="BM36" s="575"/>
      <c r="BR36" s="574"/>
    </row>
    <row r="37" spans="1:70" s="573" customFormat="1" ht="3.75" customHeight="1" x14ac:dyDescent="0.3">
      <c r="A37" s="575"/>
      <c r="B37" s="575"/>
      <c r="C37" s="575"/>
      <c r="D37" s="575"/>
      <c r="E37" s="575"/>
      <c r="F37" s="575"/>
      <c r="G37" s="575"/>
      <c r="H37" s="575"/>
      <c r="I37" s="575"/>
      <c r="J37" s="575"/>
      <c r="K37" s="575"/>
      <c r="L37" s="575"/>
      <c r="M37" s="575"/>
      <c r="N37" s="575"/>
      <c r="O37" s="575"/>
      <c r="P37" s="575"/>
      <c r="Q37" s="575"/>
      <c r="R37" s="575"/>
      <c r="S37" s="575"/>
      <c r="T37" s="575"/>
      <c r="U37" s="575"/>
      <c r="V37" s="575"/>
      <c r="W37" s="575"/>
      <c r="X37" s="575"/>
      <c r="Y37" s="575"/>
      <c r="Z37" s="575"/>
      <c r="AA37" s="575"/>
      <c r="AB37" s="575"/>
      <c r="AC37" s="575"/>
      <c r="AD37" s="575"/>
      <c r="AE37" s="575"/>
      <c r="AF37" s="575"/>
      <c r="AG37" s="575"/>
      <c r="AH37" s="575"/>
      <c r="AI37" s="575"/>
      <c r="AJ37" s="575"/>
      <c r="AK37" s="575"/>
      <c r="AL37" s="575"/>
      <c r="AM37" s="575"/>
      <c r="AN37" s="575"/>
      <c r="AO37" s="575"/>
      <c r="AP37" s="575"/>
      <c r="AQ37" s="575"/>
      <c r="AR37" s="575"/>
      <c r="AS37" s="575"/>
      <c r="AT37" s="575"/>
      <c r="AU37" s="575"/>
      <c r="AV37" s="575"/>
      <c r="AW37" s="575"/>
      <c r="AX37" s="575"/>
      <c r="AY37" s="575"/>
      <c r="AZ37" s="575"/>
      <c r="BA37" s="575"/>
      <c r="BB37" s="575"/>
      <c r="BC37" s="575"/>
      <c r="BD37" s="575"/>
      <c r="BE37" s="575"/>
      <c r="BF37" s="575"/>
      <c r="BG37" s="575"/>
      <c r="BH37" s="575"/>
      <c r="BI37" s="575"/>
      <c r="BJ37" s="575"/>
      <c r="BK37" s="575"/>
      <c r="BL37" s="575"/>
      <c r="BM37" s="575"/>
      <c r="BR37" s="574"/>
    </row>
    <row r="38" spans="1:70" s="573" customFormat="1" ht="3.75" customHeight="1" x14ac:dyDescent="0.3">
      <c r="A38" s="575"/>
      <c r="B38" s="575"/>
      <c r="C38" s="575"/>
      <c r="D38" s="575"/>
      <c r="E38" s="575"/>
      <c r="F38" s="575"/>
      <c r="G38" s="575"/>
      <c r="H38" s="575"/>
      <c r="I38" s="575"/>
      <c r="J38" s="575"/>
      <c r="K38" s="575"/>
      <c r="L38" s="575"/>
      <c r="M38" s="575"/>
      <c r="N38" s="575"/>
      <c r="O38" s="575"/>
      <c r="P38" s="575"/>
      <c r="Q38" s="575"/>
      <c r="R38" s="575"/>
      <c r="S38" s="575"/>
      <c r="T38" s="575"/>
      <c r="U38" s="575"/>
      <c r="V38" s="575"/>
      <c r="W38" s="575"/>
      <c r="X38" s="575"/>
      <c r="Y38" s="575"/>
      <c r="Z38" s="575"/>
      <c r="AA38" s="575"/>
      <c r="AB38" s="575"/>
      <c r="AC38" s="575"/>
      <c r="AD38" s="575"/>
      <c r="AE38" s="575"/>
      <c r="AF38" s="575"/>
      <c r="AG38" s="575"/>
      <c r="AH38" s="575"/>
      <c r="AI38" s="575"/>
      <c r="AJ38" s="575"/>
      <c r="AK38" s="575"/>
      <c r="AL38" s="575"/>
      <c r="AM38" s="575"/>
      <c r="AN38" s="575"/>
      <c r="AO38" s="575"/>
      <c r="AP38" s="575"/>
      <c r="AQ38" s="575"/>
      <c r="AR38" s="575"/>
      <c r="AS38" s="575"/>
      <c r="AT38" s="575"/>
      <c r="AU38" s="575"/>
      <c r="AV38" s="575"/>
      <c r="AW38" s="575"/>
      <c r="AX38" s="575"/>
      <c r="AY38" s="575"/>
      <c r="AZ38" s="575"/>
      <c r="BA38" s="575"/>
      <c r="BB38" s="575"/>
      <c r="BC38" s="575"/>
      <c r="BD38" s="575"/>
      <c r="BE38" s="575"/>
      <c r="BF38" s="575"/>
      <c r="BG38" s="575"/>
      <c r="BH38" s="575"/>
      <c r="BI38" s="575"/>
      <c r="BJ38" s="575"/>
      <c r="BK38" s="575"/>
      <c r="BL38" s="575"/>
      <c r="BM38" s="575"/>
      <c r="BR38" s="574"/>
    </row>
    <row r="39" spans="1:70" s="573" customFormat="1" ht="3.75" customHeight="1" x14ac:dyDescent="0.3">
      <c r="A39" s="575"/>
      <c r="B39" s="575"/>
      <c r="C39" s="575"/>
      <c r="D39" s="575"/>
      <c r="E39" s="575"/>
      <c r="F39" s="575"/>
      <c r="G39" s="575"/>
      <c r="H39" s="575"/>
      <c r="I39" s="575"/>
      <c r="J39" s="575"/>
      <c r="K39" s="575"/>
      <c r="L39" s="575"/>
      <c r="M39" s="575"/>
      <c r="N39" s="575"/>
      <c r="O39" s="575"/>
      <c r="P39" s="575"/>
      <c r="Q39" s="575"/>
      <c r="R39" s="575"/>
      <c r="S39" s="575"/>
      <c r="T39" s="575"/>
      <c r="U39" s="575"/>
      <c r="V39" s="575"/>
      <c r="W39" s="575"/>
      <c r="X39" s="575"/>
      <c r="Y39" s="575"/>
      <c r="Z39" s="575"/>
      <c r="AA39" s="575"/>
      <c r="AB39" s="575"/>
      <c r="AC39" s="575"/>
      <c r="AD39" s="575"/>
      <c r="AE39" s="575"/>
      <c r="AF39" s="575"/>
      <c r="AG39" s="575"/>
      <c r="AH39" s="575"/>
      <c r="AI39" s="575"/>
      <c r="AJ39" s="575"/>
      <c r="AK39" s="575"/>
      <c r="AL39" s="575"/>
      <c r="AM39" s="575"/>
      <c r="AN39" s="575"/>
      <c r="AO39" s="575"/>
      <c r="AP39" s="575"/>
      <c r="AQ39" s="575"/>
      <c r="AR39" s="575"/>
      <c r="AS39" s="575"/>
      <c r="AT39" s="575"/>
      <c r="AU39" s="575"/>
      <c r="AV39" s="575"/>
      <c r="AW39" s="575"/>
      <c r="AX39" s="575"/>
      <c r="AY39" s="575"/>
      <c r="AZ39" s="575"/>
      <c r="BA39" s="575"/>
      <c r="BB39" s="575"/>
      <c r="BC39" s="575"/>
      <c r="BD39" s="575"/>
      <c r="BE39" s="575"/>
      <c r="BF39" s="575"/>
      <c r="BG39" s="575"/>
      <c r="BH39" s="575"/>
      <c r="BI39" s="575"/>
      <c r="BJ39" s="575"/>
      <c r="BK39" s="575"/>
      <c r="BL39" s="575"/>
      <c r="BM39" s="575"/>
      <c r="BR39" s="574"/>
    </row>
    <row r="40" spans="1:70" s="573" customFormat="1" ht="3.75" customHeight="1" x14ac:dyDescent="0.3">
      <c r="A40" s="575"/>
      <c r="B40" s="575"/>
      <c r="C40" s="575"/>
      <c r="D40" s="575"/>
      <c r="E40" s="575"/>
      <c r="F40" s="575"/>
      <c r="G40" s="575"/>
      <c r="H40" s="575"/>
      <c r="I40" s="575"/>
      <c r="J40" s="575"/>
      <c r="K40" s="575"/>
      <c r="L40" s="575"/>
      <c r="M40" s="575"/>
      <c r="N40" s="575"/>
      <c r="O40" s="575"/>
      <c r="P40" s="575"/>
      <c r="Q40" s="575"/>
      <c r="R40" s="575"/>
      <c r="S40" s="575"/>
      <c r="T40" s="575"/>
      <c r="U40" s="575"/>
      <c r="V40" s="575"/>
      <c r="W40" s="575"/>
      <c r="X40" s="575"/>
      <c r="Y40" s="575"/>
      <c r="Z40" s="575"/>
      <c r="AA40" s="575"/>
      <c r="AB40" s="575"/>
      <c r="AC40" s="575"/>
      <c r="AD40" s="575"/>
      <c r="AE40" s="575"/>
      <c r="AF40" s="575"/>
      <c r="AG40" s="575"/>
      <c r="AH40" s="575"/>
      <c r="AI40" s="575"/>
      <c r="AJ40" s="575"/>
      <c r="AK40" s="575"/>
      <c r="AL40" s="575"/>
      <c r="AM40" s="575"/>
      <c r="AN40" s="575"/>
      <c r="AO40" s="575"/>
      <c r="AP40" s="575"/>
      <c r="AQ40" s="575"/>
      <c r="AR40" s="575"/>
      <c r="AS40" s="575"/>
      <c r="AT40" s="575"/>
      <c r="AU40" s="575"/>
      <c r="AV40" s="575"/>
      <c r="AW40" s="575"/>
      <c r="AX40" s="575"/>
      <c r="AY40" s="575"/>
      <c r="AZ40" s="575"/>
      <c r="BA40" s="575"/>
      <c r="BB40" s="575"/>
      <c r="BC40" s="575"/>
      <c r="BD40" s="575"/>
      <c r="BE40" s="575"/>
      <c r="BF40" s="575"/>
      <c r="BG40" s="575"/>
      <c r="BH40" s="575"/>
      <c r="BI40" s="575"/>
      <c r="BJ40" s="575"/>
      <c r="BK40" s="575"/>
      <c r="BL40" s="575"/>
      <c r="BM40" s="575"/>
      <c r="BR40" s="574"/>
    </row>
    <row r="41" spans="1:70" s="573" customFormat="1" ht="3.75" customHeight="1" x14ac:dyDescent="0.3">
      <c r="A41" s="575"/>
      <c r="B41" s="575"/>
      <c r="C41" s="575"/>
      <c r="D41" s="575"/>
      <c r="E41" s="575"/>
      <c r="F41" s="575"/>
      <c r="G41" s="575"/>
      <c r="H41" s="575"/>
      <c r="I41" s="575"/>
      <c r="J41" s="575"/>
      <c r="K41" s="575"/>
      <c r="L41" s="575"/>
      <c r="M41" s="575"/>
      <c r="N41" s="575"/>
      <c r="O41" s="575"/>
      <c r="P41" s="575"/>
      <c r="Q41" s="575"/>
      <c r="R41" s="575"/>
      <c r="S41" s="575"/>
      <c r="T41" s="575"/>
      <c r="U41" s="575"/>
      <c r="V41" s="575"/>
      <c r="W41" s="575"/>
      <c r="X41" s="575"/>
      <c r="Y41" s="575"/>
      <c r="Z41" s="575"/>
      <c r="AA41" s="575"/>
      <c r="AB41" s="575"/>
      <c r="AC41" s="575"/>
      <c r="AD41" s="575"/>
      <c r="AE41" s="575"/>
      <c r="AF41" s="575"/>
      <c r="AG41" s="575"/>
      <c r="AH41" s="575"/>
      <c r="AI41" s="575"/>
      <c r="AJ41" s="575"/>
      <c r="AK41" s="575"/>
      <c r="AL41" s="575"/>
      <c r="AM41" s="575"/>
      <c r="AN41" s="575"/>
      <c r="AO41" s="575"/>
      <c r="AP41" s="575"/>
      <c r="AQ41" s="575"/>
      <c r="AR41" s="575"/>
      <c r="AS41" s="575"/>
      <c r="AT41" s="575"/>
      <c r="AU41" s="575"/>
      <c r="AV41" s="575"/>
      <c r="AW41" s="575"/>
      <c r="AX41" s="575"/>
      <c r="AY41" s="575"/>
      <c r="AZ41" s="575"/>
      <c r="BA41" s="575"/>
      <c r="BB41" s="575"/>
      <c r="BC41" s="575"/>
      <c r="BD41" s="575"/>
      <c r="BE41" s="575"/>
      <c r="BF41" s="575"/>
      <c r="BG41" s="575"/>
      <c r="BH41" s="575"/>
      <c r="BI41" s="575"/>
      <c r="BJ41" s="575"/>
      <c r="BK41" s="575"/>
      <c r="BL41" s="575"/>
      <c r="BM41" s="575"/>
      <c r="BR41" s="574"/>
    </row>
    <row r="42" spans="1:70" s="573" customFormat="1" ht="3.75" customHeight="1" x14ac:dyDescent="0.3">
      <c r="A42" s="575"/>
      <c r="B42" s="575"/>
      <c r="C42" s="575"/>
      <c r="D42" s="575"/>
      <c r="E42" s="575"/>
      <c r="F42" s="575"/>
      <c r="G42" s="575"/>
      <c r="H42" s="575"/>
      <c r="I42" s="575"/>
      <c r="J42" s="575"/>
      <c r="K42" s="575"/>
      <c r="L42" s="575"/>
      <c r="M42" s="575"/>
      <c r="N42" s="575"/>
      <c r="O42" s="575"/>
      <c r="P42" s="575"/>
      <c r="Q42" s="575"/>
      <c r="R42" s="575"/>
      <c r="S42" s="575"/>
      <c r="T42" s="575"/>
      <c r="U42" s="575"/>
      <c r="V42" s="575"/>
      <c r="W42" s="575"/>
      <c r="X42" s="575"/>
      <c r="Y42" s="575"/>
      <c r="Z42" s="575"/>
      <c r="AA42" s="575"/>
      <c r="AB42" s="575"/>
      <c r="AC42" s="575"/>
      <c r="AD42" s="575"/>
      <c r="AE42" s="575"/>
      <c r="AF42" s="575"/>
      <c r="AG42" s="575"/>
      <c r="AH42" s="575"/>
      <c r="AI42" s="575"/>
      <c r="AJ42" s="575"/>
      <c r="AK42" s="575"/>
      <c r="AL42" s="575"/>
      <c r="AM42" s="575"/>
      <c r="AN42" s="575"/>
      <c r="AO42" s="575"/>
      <c r="AP42" s="575"/>
      <c r="AQ42" s="575"/>
      <c r="AR42" s="575"/>
      <c r="AS42" s="575"/>
      <c r="AT42" s="575"/>
      <c r="AU42" s="575"/>
      <c r="AV42" s="575"/>
      <c r="AW42" s="575"/>
      <c r="AX42" s="575"/>
      <c r="AY42" s="575"/>
      <c r="AZ42" s="575"/>
      <c r="BA42" s="575"/>
      <c r="BB42" s="575"/>
      <c r="BC42" s="575"/>
      <c r="BD42" s="575"/>
      <c r="BE42" s="575"/>
      <c r="BF42" s="575"/>
      <c r="BG42" s="575"/>
      <c r="BH42" s="575"/>
      <c r="BI42" s="575"/>
      <c r="BJ42" s="575"/>
      <c r="BK42" s="575"/>
      <c r="BL42" s="575"/>
      <c r="BM42" s="575"/>
      <c r="BR42" s="574"/>
    </row>
    <row r="43" spans="1:70" s="573" customFormat="1" ht="3.75" customHeight="1" x14ac:dyDescent="0.3">
      <c r="A43" s="575"/>
      <c r="B43" s="575"/>
      <c r="C43" s="575"/>
      <c r="D43" s="575"/>
      <c r="E43" s="575"/>
      <c r="F43" s="575"/>
      <c r="G43" s="575"/>
      <c r="H43" s="575"/>
      <c r="I43" s="575"/>
      <c r="J43" s="575"/>
      <c r="K43" s="575"/>
      <c r="L43" s="575"/>
      <c r="M43" s="575"/>
      <c r="N43" s="575"/>
      <c r="O43" s="575"/>
      <c r="P43" s="575"/>
      <c r="Q43" s="575"/>
      <c r="R43" s="575"/>
      <c r="S43" s="575"/>
      <c r="T43" s="575"/>
      <c r="U43" s="575"/>
      <c r="V43" s="575"/>
      <c r="W43" s="575"/>
      <c r="X43" s="575"/>
      <c r="Y43" s="575"/>
      <c r="Z43" s="575"/>
      <c r="AA43" s="575"/>
      <c r="AB43" s="575"/>
      <c r="AC43" s="575"/>
      <c r="AD43" s="575"/>
      <c r="AE43" s="575"/>
      <c r="AF43" s="575"/>
      <c r="AG43" s="575"/>
      <c r="AH43" s="575"/>
      <c r="AI43" s="575"/>
      <c r="AJ43" s="575"/>
      <c r="AK43" s="575"/>
      <c r="AL43" s="575"/>
      <c r="AM43" s="575"/>
      <c r="AN43" s="575"/>
      <c r="AO43" s="575"/>
      <c r="AP43" s="575"/>
      <c r="AQ43" s="575"/>
      <c r="AR43" s="575"/>
      <c r="AS43" s="575"/>
      <c r="AT43" s="575"/>
      <c r="AU43" s="575"/>
      <c r="AV43" s="575"/>
      <c r="AW43" s="575"/>
      <c r="AX43" s="575"/>
      <c r="AY43" s="575"/>
      <c r="AZ43" s="575"/>
      <c r="BA43" s="575"/>
      <c r="BB43" s="575"/>
      <c r="BC43" s="575"/>
      <c r="BD43" s="575"/>
      <c r="BE43" s="575"/>
      <c r="BF43" s="575"/>
      <c r="BG43" s="575"/>
      <c r="BH43" s="575"/>
      <c r="BI43" s="575"/>
      <c r="BJ43" s="575"/>
      <c r="BK43" s="575"/>
      <c r="BL43" s="575"/>
      <c r="BM43" s="575"/>
      <c r="BR43" s="574"/>
    </row>
    <row r="44" spans="1:70" s="573" customFormat="1" ht="3.75" customHeight="1" x14ac:dyDescent="0.3">
      <c r="A44" s="575"/>
      <c r="B44" s="575"/>
      <c r="C44" s="575"/>
      <c r="D44" s="575"/>
      <c r="E44" s="575"/>
      <c r="F44" s="575"/>
      <c r="G44" s="575"/>
      <c r="H44" s="575"/>
      <c r="I44" s="575"/>
      <c r="J44" s="575"/>
      <c r="K44" s="575"/>
      <c r="L44" s="575"/>
      <c r="M44" s="575"/>
      <c r="N44" s="575"/>
      <c r="O44" s="575"/>
      <c r="P44" s="575"/>
      <c r="Q44" s="575"/>
      <c r="R44" s="575"/>
      <c r="S44" s="575"/>
      <c r="T44" s="575"/>
      <c r="U44" s="575"/>
      <c r="V44" s="575"/>
      <c r="W44" s="575"/>
      <c r="X44" s="575"/>
      <c r="Y44" s="575"/>
      <c r="Z44" s="575"/>
      <c r="AA44" s="575"/>
      <c r="AB44" s="575"/>
      <c r="AC44" s="575"/>
      <c r="AD44" s="575"/>
      <c r="AE44" s="575"/>
      <c r="AF44" s="575"/>
      <c r="AG44" s="575"/>
      <c r="AH44" s="575"/>
      <c r="AI44" s="575"/>
      <c r="AJ44" s="581">
        <f>BTP_CORRIGIDO!AD5</f>
        <v>0.67</v>
      </c>
      <c r="AK44" s="582"/>
      <c r="AL44" s="582"/>
      <c r="AM44" s="582"/>
      <c r="AN44" s="575"/>
      <c r="AO44" s="583" t="str">
        <f>BTP_CORRIGIDO!Y7</f>
        <v>8916063/ 2023</v>
      </c>
      <c r="AP44" s="577"/>
      <c r="AQ44" s="577"/>
      <c r="AR44" s="577"/>
      <c r="AS44" s="577"/>
      <c r="AT44" s="577"/>
      <c r="AU44" s="577"/>
      <c r="AV44" s="577"/>
      <c r="AW44" s="577"/>
      <c r="AX44" s="577"/>
      <c r="AY44" s="577"/>
      <c r="AZ44" s="577"/>
      <c r="BA44" s="577"/>
      <c r="BB44" s="577"/>
      <c r="BC44" s="577"/>
      <c r="BD44" s="575"/>
      <c r="BE44" s="575"/>
      <c r="BF44" s="575"/>
      <c r="BG44" s="575"/>
      <c r="BH44" s="575"/>
      <c r="BI44" s="575"/>
      <c r="BJ44" s="575"/>
      <c r="BK44" s="575"/>
      <c r="BL44" s="575"/>
      <c r="BM44" s="575"/>
      <c r="BR44" s="574"/>
    </row>
    <row r="45" spans="1:70" s="573" customFormat="1" ht="3.75" customHeight="1" x14ac:dyDescent="0.3">
      <c r="A45" s="575"/>
      <c r="B45" s="575"/>
      <c r="C45" s="575"/>
      <c r="D45" s="575"/>
      <c r="E45" s="575"/>
      <c r="F45" s="575"/>
      <c r="G45" s="575"/>
      <c r="H45" s="575"/>
      <c r="I45" s="575"/>
      <c r="J45" s="575"/>
      <c r="K45" s="575"/>
      <c r="L45" s="575"/>
      <c r="M45" s="575"/>
      <c r="N45" s="575"/>
      <c r="O45" s="575"/>
      <c r="P45" s="575"/>
      <c r="Q45" s="575"/>
      <c r="R45" s="575"/>
      <c r="S45" s="575"/>
      <c r="T45" s="575"/>
      <c r="U45" s="575"/>
      <c r="V45" s="575"/>
      <c r="W45" s="575"/>
      <c r="X45" s="575"/>
      <c r="Y45" s="575"/>
      <c r="Z45" s="575"/>
      <c r="AA45" s="575"/>
      <c r="AB45" s="575"/>
      <c r="AC45" s="575"/>
      <c r="AD45" s="575"/>
      <c r="AE45" s="575"/>
      <c r="AF45" s="575"/>
      <c r="AG45" s="575"/>
      <c r="AH45" s="575"/>
      <c r="AI45" s="575"/>
      <c r="AJ45" s="582"/>
      <c r="AK45" s="582"/>
      <c r="AL45" s="582"/>
      <c r="AM45" s="582"/>
      <c r="AN45" s="575"/>
      <c r="AO45" s="577"/>
      <c r="AP45" s="577"/>
      <c r="AQ45" s="577"/>
      <c r="AR45" s="577"/>
      <c r="AS45" s="577"/>
      <c r="AT45" s="577"/>
      <c r="AU45" s="577"/>
      <c r="AV45" s="577"/>
      <c r="AW45" s="577"/>
      <c r="AX45" s="577"/>
      <c r="AY45" s="577"/>
      <c r="AZ45" s="577"/>
      <c r="BA45" s="577"/>
      <c r="BB45" s="577"/>
      <c r="BC45" s="577"/>
      <c r="BD45" s="575"/>
      <c r="BE45" s="575"/>
      <c r="BF45" s="575"/>
      <c r="BG45" s="575"/>
      <c r="BH45" s="575"/>
      <c r="BI45" s="575"/>
      <c r="BJ45" s="575"/>
      <c r="BK45" s="575"/>
      <c r="BL45" s="575"/>
      <c r="BM45" s="575"/>
      <c r="BR45" s="574"/>
    </row>
    <row r="46" spans="1:70" s="573" customFormat="1" ht="3.75" customHeight="1" x14ac:dyDescent="0.3">
      <c r="A46" s="575"/>
      <c r="B46" s="575"/>
      <c r="C46" s="584">
        <f>BTP_CORRIGIDO!G59</f>
        <v>448.48</v>
      </c>
      <c r="D46" s="585"/>
      <c r="E46" s="585"/>
      <c r="F46" s="585"/>
      <c r="G46" s="585"/>
      <c r="H46" s="585"/>
      <c r="I46" s="585"/>
      <c r="J46" s="575"/>
      <c r="K46" s="575"/>
      <c r="L46" s="575"/>
      <c r="M46" s="575"/>
      <c r="N46" s="575"/>
      <c r="O46" s="584">
        <f>BTP_CORRIGIDO!Q59</f>
        <v>89.94</v>
      </c>
      <c r="P46" s="585"/>
      <c r="Q46" s="585"/>
      <c r="R46" s="585"/>
      <c r="S46" s="575"/>
      <c r="T46" s="584">
        <f>BTP_CORRIGIDO!M59</f>
        <v>64.489999999999995</v>
      </c>
      <c r="U46" s="585"/>
      <c r="V46" s="585"/>
      <c r="W46" s="585"/>
      <c r="X46" s="575"/>
      <c r="Y46" s="584">
        <f>BTP_CORRIGIDO!N59</f>
        <v>0</v>
      </c>
      <c r="Z46" s="585"/>
      <c r="AA46" s="585"/>
      <c r="AB46" s="585"/>
      <c r="AC46" s="575"/>
      <c r="AD46" s="575"/>
      <c r="AE46" s="575"/>
      <c r="AF46" s="575"/>
      <c r="AG46" s="575"/>
      <c r="AH46" s="575"/>
      <c r="AI46" s="575"/>
      <c r="AJ46" s="582"/>
      <c r="AK46" s="582"/>
      <c r="AL46" s="582"/>
      <c r="AM46" s="582"/>
      <c r="AN46" s="575"/>
      <c r="AO46" s="577"/>
      <c r="AP46" s="577"/>
      <c r="AQ46" s="577"/>
      <c r="AR46" s="577"/>
      <c r="AS46" s="577"/>
      <c r="AT46" s="577"/>
      <c r="AU46" s="577"/>
      <c r="AV46" s="577"/>
      <c r="AW46" s="577"/>
      <c r="AX46" s="577"/>
      <c r="AY46" s="577"/>
      <c r="AZ46" s="577"/>
      <c r="BA46" s="577"/>
      <c r="BB46" s="577"/>
      <c r="BC46" s="577"/>
      <c r="BD46" s="575"/>
      <c r="BE46" s="575"/>
      <c r="BF46" s="575"/>
      <c r="BG46" s="575"/>
      <c r="BH46" s="575"/>
      <c r="BI46" s="575"/>
      <c r="BJ46" s="575"/>
      <c r="BK46" s="575"/>
      <c r="BL46" s="575"/>
      <c r="BM46" s="575"/>
      <c r="BQ46" s="586"/>
    </row>
    <row r="47" spans="1:70" s="573" customFormat="1" ht="3.75" customHeight="1" x14ac:dyDescent="0.3">
      <c r="A47" s="575"/>
      <c r="B47" s="575"/>
      <c r="C47" s="585"/>
      <c r="D47" s="585"/>
      <c r="E47" s="585"/>
      <c r="F47" s="585"/>
      <c r="G47" s="585"/>
      <c r="H47" s="585"/>
      <c r="I47" s="585"/>
      <c r="J47" s="575"/>
      <c r="K47" s="575"/>
      <c r="L47" s="575"/>
      <c r="M47" s="575"/>
      <c r="N47" s="575"/>
      <c r="O47" s="585"/>
      <c r="P47" s="585"/>
      <c r="Q47" s="585"/>
      <c r="R47" s="585"/>
      <c r="S47" s="575"/>
      <c r="T47" s="585"/>
      <c r="U47" s="585"/>
      <c r="V47" s="585"/>
      <c r="W47" s="585"/>
      <c r="X47" s="575"/>
      <c r="Y47" s="585"/>
      <c r="Z47" s="585"/>
      <c r="AA47" s="585"/>
      <c r="AB47" s="585"/>
      <c r="AC47" s="575"/>
      <c r="AD47" s="575"/>
      <c r="AE47" s="575"/>
      <c r="AF47" s="575"/>
      <c r="AG47" s="575"/>
      <c r="AH47" s="575"/>
      <c r="AI47" s="575"/>
      <c r="AJ47" s="575"/>
      <c r="AK47" s="575"/>
      <c r="AL47" s="575"/>
      <c r="AM47" s="575"/>
      <c r="AN47" s="575"/>
      <c r="AO47" s="575"/>
      <c r="AP47" s="575"/>
      <c r="AQ47" s="575"/>
      <c r="AR47" s="575"/>
      <c r="AS47" s="575"/>
      <c r="AT47" s="575"/>
      <c r="AU47" s="575"/>
      <c r="AV47" s="575"/>
      <c r="AW47" s="575"/>
      <c r="AX47" s="575"/>
      <c r="AY47" s="575"/>
      <c r="AZ47" s="575"/>
      <c r="BA47" s="575"/>
      <c r="BB47" s="575"/>
      <c r="BC47" s="575"/>
      <c r="BD47" s="575"/>
      <c r="BE47" s="575"/>
      <c r="BF47" s="575"/>
      <c r="BG47" s="575"/>
      <c r="BH47" s="575"/>
      <c r="BI47" s="575"/>
      <c r="BJ47" s="575"/>
      <c r="BK47" s="575"/>
      <c r="BL47" s="575"/>
      <c r="BM47" s="575"/>
    </row>
    <row r="48" spans="1:70" s="573" customFormat="1" ht="3.75" customHeight="1" x14ac:dyDescent="0.3">
      <c r="A48" s="575"/>
      <c r="B48" s="575"/>
      <c r="C48" s="585"/>
      <c r="D48" s="585"/>
      <c r="E48" s="585"/>
      <c r="F48" s="585"/>
      <c r="G48" s="585"/>
      <c r="H48" s="585"/>
      <c r="I48" s="585"/>
      <c r="J48" s="575"/>
      <c r="K48" s="575"/>
      <c r="L48" s="575"/>
      <c r="M48" s="575"/>
      <c r="N48" s="575"/>
      <c r="O48" s="585"/>
      <c r="P48" s="585"/>
      <c r="Q48" s="585"/>
      <c r="R48" s="585"/>
      <c r="S48" s="575"/>
      <c r="T48" s="585"/>
      <c r="U48" s="585"/>
      <c r="V48" s="585"/>
      <c r="W48" s="585"/>
      <c r="X48" s="575"/>
      <c r="Y48" s="585"/>
      <c r="Z48" s="585"/>
      <c r="AA48" s="585"/>
      <c r="AB48" s="585"/>
      <c r="AC48" s="575"/>
      <c r="AD48" s="575"/>
      <c r="AE48" s="575"/>
      <c r="AF48" s="575"/>
      <c r="AG48" s="575"/>
      <c r="AH48" s="575"/>
      <c r="AI48" s="575"/>
      <c r="AJ48" s="575"/>
      <c r="AK48" s="575"/>
      <c r="AL48" s="575"/>
      <c r="AM48" s="575"/>
      <c r="AN48" s="575"/>
      <c r="AO48" s="575"/>
      <c r="AP48" s="575"/>
      <c r="AQ48" s="575"/>
      <c r="AR48" s="575"/>
      <c r="AS48" s="575"/>
      <c r="AT48" s="575"/>
      <c r="AU48" s="575"/>
      <c r="AV48" s="575"/>
      <c r="AW48" s="575"/>
      <c r="AX48" s="575"/>
      <c r="AY48" s="575"/>
      <c r="AZ48" s="575"/>
      <c r="BA48" s="575"/>
      <c r="BB48" s="575"/>
      <c r="BC48" s="575"/>
      <c r="BD48" s="575"/>
      <c r="BE48" s="575"/>
      <c r="BF48" s="575"/>
      <c r="BG48" s="575"/>
      <c r="BH48" s="575"/>
      <c r="BI48" s="575"/>
      <c r="BJ48" s="575"/>
      <c r="BK48" s="575"/>
      <c r="BL48" s="575"/>
      <c r="BM48" s="575"/>
    </row>
    <row r="49" spans="1:65" s="573" customFormat="1" ht="3.75" customHeight="1" x14ac:dyDescent="0.3">
      <c r="A49" s="575"/>
      <c r="B49" s="575"/>
      <c r="C49" s="585"/>
      <c r="D49" s="585"/>
      <c r="E49" s="585"/>
      <c r="F49" s="585"/>
      <c r="G49" s="585"/>
      <c r="H49" s="585"/>
      <c r="I49" s="585"/>
      <c r="J49" s="575"/>
      <c r="K49" s="575"/>
      <c r="L49" s="575"/>
      <c r="M49" s="575"/>
      <c r="N49" s="575"/>
      <c r="O49" s="585"/>
      <c r="P49" s="585"/>
      <c r="Q49" s="585"/>
      <c r="R49" s="585"/>
      <c r="S49" s="575"/>
      <c r="T49" s="585"/>
      <c r="U49" s="585"/>
      <c r="V49" s="585"/>
      <c r="W49" s="585"/>
      <c r="X49" s="575"/>
      <c r="Y49" s="585"/>
      <c r="Z49" s="585"/>
      <c r="AA49" s="585"/>
      <c r="AB49" s="585"/>
      <c r="AC49" s="575"/>
      <c r="AD49" s="575"/>
      <c r="AE49" s="575"/>
      <c r="AF49" s="575"/>
      <c r="AG49" s="575"/>
      <c r="AH49" s="575"/>
      <c r="AI49" s="575"/>
      <c r="AJ49" s="581">
        <f>BTP_CORRIGIDO!AH10</f>
        <v>0.57999999999999996</v>
      </c>
      <c r="AK49" s="582"/>
      <c r="AL49" s="582"/>
      <c r="AM49" s="582"/>
      <c r="AN49" s="575"/>
      <c r="AO49" s="583" t="str">
        <f>AO44</f>
        <v>8916063/ 2023</v>
      </c>
      <c r="AP49" s="577"/>
      <c r="AQ49" s="577"/>
      <c r="AR49" s="577"/>
      <c r="AS49" s="577"/>
      <c r="AT49" s="577"/>
      <c r="AU49" s="577"/>
      <c r="AV49" s="577"/>
      <c r="AW49" s="577"/>
      <c r="AX49" s="577"/>
      <c r="AY49" s="577"/>
      <c r="AZ49" s="577"/>
      <c r="BA49" s="577"/>
      <c r="BB49" s="577"/>
      <c r="BC49" s="577"/>
      <c r="BD49" s="575"/>
      <c r="BE49" s="575"/>
      <c r="BF49" s="575"/>
      <c r="BG49" s="575"/>
      <c r="BH49" s="575"/>
      <c r="BI49" s="575"/>
      <c r="BJ49" s="575"/>
      <c r="BK49" s="575"/>
      <c r="BL49" s="575"/>
      <c r="BM49" s="575"/>
    </row>
    <row r="50" spans="1:65" s="573" customFormat="1" ht="3.75" customHeight="1" x14ac:dyDescent="0.3">
      <c r="A50" s="575"/>
      <c r="B50" s="575"/>
      <c r="C50" s="575"/>
      <c r="D50" s="575"/>
      <c r="E50" s="575"/>
      <c r="F50" s="575"/>
      <c r="G50" s="575"/>
      <c r="H50" s="575"/>
      <c r="I50" s="575"/>
      <c r="J50" s="575"/>
      <c r="K50" s="575"/>
      <c r="L50" s="575"/>
      <c r="M50" s="575"/>
      <c r="N50" s="575"/>
      <c r="O50" s="575"/>
      <c r="P50" s="575"/>
      <c r="Q50" s="575"/>
      <c r="R50" s="575"/>
      <c r="S50" s="575"/>
      <c r="T50" s="575"/>
      <c r="U50" s="575"/>
      <c r="V50" s="575"/>
      <c r="W50" s="575"/>
      <c r="X50" s="575"/>
      <c r="Y50" s="575"/>
      <c r="Z50" s="575"/>
      <c r="AA50" s="575"/>
      <c r="AB50" s="575"/>
      <c r="AC50" s="575"/>
      <c r="AD50" s="575"/>
      <c r="AE50" s="575"/>
      <c r="AF50" s="575"/>
      <c r="AG50" s="575"/>
      <c r="AH50" s="575"/>
      <c r="AI50" s="575"/>
      <c r="AJ50" s="582"/>
      <c r="AK50" s="582"/>
      <c r="AL50" s="582"/>
      <c r="AM50" s="582"/>
      <c r="AN50" s="575"/>
      <c r="AO50" s="577"/>
      <c r="AP50" s="577"/>
      <c r="AQ50" s="577"/>
      <c r="AR50" s="577"/>
      <c r="AS50" s="577"/>
      <c r="AT50" s="577"/>
      <c r="AU50" s="577"/>
      <c r="AV50" s="577"/>
      <c r="AW50" s="577"/>
      <c r="AX50" s="577"/>
      <c r="AY50" s="577"/>
      <c r="AZ50" s="577"/>
      <c r="BA50" s="577"/>
      <c r="BB50" s="577"/>
      <c r="BC50" s="577"/>
      <c r="BD50" s="575"/>
      <c r="BE50" s="575"/>
      <c r="BF50" s="575"/>
      <c r="BG50" s="575"/>
      <c r="BH50" s="575"/>
      <c r="BI50" s="575"/>
      <c r="BJ50" s="575"/>
      <c r="BK50" s="575"/>
      <c r="BL50" s="575"/>
      <c r="BM50" s="575"/>
    </row>
    <row r="51" spans="1:65" s="573" customFormat="1" ht="3.75" customHeight="1" x14ac:dyDescent="0.3">
      <c r="A51" s="575"/>
      <c r="B51" s="575"/>
      <c r="C51" s="575"/>
      <c r="D51" s="575"/>
      <c r="E51" s="575"/>
      <c r="F51" s="575"/>
      <c r="G51" s="575"/>
      <c r="H51" s="575"/>
      <c r="I51" s="575"/>
      <c r="J51" s="575"/>
      <c r="K51" s="575"/>
      <c r="L51" s="575"/>
      <c r="M51" s="575"/>
      <c r="N51" s="575"/>
      <c r="O51" s="575"/>
      <c r="P51" s="575"/>
      <c r="Q51" s="575"/>
      <c r="R51" s="575"/>
      <c r="S51" s="575"/>
      <c r="T51" s="575"/>
      <c r="U51" s="575"/>
      <c r="V51" s="575"/>
      <c r="W51" s="575"/>
      <c r="X51" s="575"/>
      <c r="Y51" s="575"/>
      <c r="Z51" s="575"/>
      <c r="AA51" s="575"/>
      <c r="AB51" s="575"/>
      <c r="AC51" s="575"/>
      <c r="AD51" s="575"/>
      <c r="AE51" s="575"/>
      <c r="AF51" s="575"/>
      <c r="AG51" s="575"/>
      <c r="AH51" s="575"/>
      <c r="AI51" s="575"/>
      <c r="AJ51" s="582"/>
      <c r="AK51" s="582"/>
      <c r="AL51" s="582"/>
      <c r="AM51" s="582"/>
      <c r="AN51" s="575"/>
      <c r="AO51" s="577"/>
      <c r="AP51" s="577"/>
      <c r="AQ51" s="577"/>
      <c r="AR51" s="577"/>
      <c r="AS51" s="577"/>
      <c r="AT51" s="577"/>
      <c r="AU51" s="577"/>
      <c r="AV51" s="577"/>
      <c r="AW51" s="577"/>
      <c r="AX51" s="577"/>
      <c r="AY51" s="577"/>
      <c r="AZ51" s="577"/>
      <c r="BA51" s="577"/>
      <c r="BB51" s="577"/>
      <c r="BC51" s="577"/>
      <c r="BD51" s="575"/>
      <c r="BE51" s="575"/>
      <c r="BF51" s="575"/>
      <c r="BG51" s="575"/>
      <c r="BH51" s="575"/>
      <c r="BI51" s="575"/>
      <c r="BJ51" s="575"/>
      <c r="BK51" s="575"/>
      <c r="BL51" s="575"/>
      <c r="BM51" s="575"/>
    </row>
    <row r="52" spans="1:65" s="573" customFormat="1" ht="3.75" customHeight="1" x14ac:dyDescent="0.3">
      <c r="A52" s="575"/>
      <c r="B52" s="575"/>
      <c r="C52" s="575"/>
      <c r="D52" s="575"/>
      <c r="E52" s="575"/>
      <c r="F52" s="575"/>
      <c r="G52" s="575"/>
      <c r="H52" s="575"/>
      <c r="I52" s="575"/>
      <c r="J52" s="575"/>
      <c r="K52" s="575"/>
      <c r="L52" s="575"/>
      <c r="M52" s="575"/>
      <c r="N52" s="575"/>
      <c r="O52" s="575"/>
      <c r="P52" s="575"/>
      <c r="Q52" s="575"/>
      <c r="R52" s="575"/>
      <c r="S52" s="575"/>
      <c r="T52" s="575"/>
      <c r="U52" s="575"/>
      <c r="V52" s="575"/>
      <c r="W52" s="575"/>
      <c r="X52" s="575"/>
      <c r="Y52" s="575"/>
      <c r="Z52" s="575"/>
      <c r="AA52" s="575"/>
      <c r="AB52" s="575"/>
      <c r="AC52" s="575"/>
      <c r="AD52" s="575"/>
      <c r="AE52" s="575"/>
      <c r="AF52" s="575"/>
      <c r="AG52" s="575"/>
      <c r="AH52" s="575"/>
      <c r="AI52" s="575"/>
      <c r="AJ52" s="575"/>
      <c r="AK52" s="575"/>
      <c r="AL52" s="575"/>
      <c r="AM52" s="575"/>
      <c r="AN52" s="575"/>
      <c r="AO52" s="575"/>
      <c r="AP52" s="575"/>
      <c r="AQ52" s="575"/>
      <c r="AR52" s="575"/>
      <c r="AS52" s="575"/>
      <c r="AT52" s="575"/>
      <c r="AU52" s="575"/>
      <c r="AV52" s="575"/>
      <c r="AW52" s="575"/>
      <c r="AX52" s="575"/>
      <c r="AY52" s="575"/>
      <c r="AZ52" s="575"/>
      <c r="BA52" s="575"/>
      <c r="BB52" s="575"/>
      <c r="BC52" s="575"/>
      <c r="BD52" s="575"/>
      <c r="BE52" s="575"/>
      <c r="BF52" s="575"/>
      <c r="BG52" s="575"/>
      <c r="BH52" s="575"/>
      <c r="BI52" s="575"/>
      <c r="BJ52" s="575"/>
      <c r="BK52" s="575"/>
      <c r="BL52" s="575"/>
      <c r="BM52" s="575"/>
    </row>
    <row r="53" spans="1:65" s="573" customFormat="1" ht="3.75" customHeight="1" x14ac:dyDescent="0.3">
      <c r="A53" s="575"/>
      <c r="B53" s="575"/>
      <c r="C53" s="575"/>
      <c r="D53" s="575"/>
      <c r="E53" s="575"/>
      <c r="F53" s="575"/>
      <c r="G53" s="575"/>
      <c r="H53" s="575"/>
      <c r="I53" s="575"/>
      <c r="J53" s="575"/>
      <c r="K53" s="575"/>
      <c r="L53" s="575"/>
      <c r="M53" s="575"/>
      <c r="N53" s="575"/>
      <c r="O53" s="575"/>
      <c r="P53" s="575"/>
      <c r="Q53" s="575"/>
      <c r="R53" s="575"/>
      <c r="S53" s="575"/>
      <c r="T53" s="575"/>
      <c r="U53" s="575"/>
      <c r="V53" s="575"/>
      <c r="W53" s="575"/>
      <c r="X53" s="575"/>
      <c r="Y53" s="575"/>
      <c r="Z53" s="575"/>
      <c r="AA53" s="575"/>
      <c r="AB53" s="575"/>
      <c r="AC53" s="575"/>
      <c r="AD53" s="575"/>
      <c r="AE53" s="575"/>
      <c r="AF53" s="575"/>
      <c r="AG53" s="575"/>
      <c r="AH53" s="575"/>
      <c r="AI53" s="575"/>
      <c r="AJ53" s="575"/>
      <c r="AK53" s="575"/>
      <c r="AL53" s="575"/>
      <c r="AM53" s="575"/>
      <c r="AN53" s="575"/>
      <c r="AO53" s="575"/>
      <c r="AP53" s="575"/>
      <c r="AQ53" s="575"/>
      <c r="AR53" s="575"/>
      <c r="AS53" s="575"/>
      <c r="AT53" s="575"/>
      <c r="AU53" s="575"/>
      <c r="AV53" s="575"/>
      <c r="AW53" s="575"/>
      <c r="AX53" s="575"/>
      <c r="AY53" s="575"/>
      <c r="AZ53" s="575"/>
      <c r="BA53" s="575"/>
      <c r="BB53" s="575"/>
      <c r="BC53" s="575"/>
      <c r="BD53" s="575"/>
      <c r="BE53" s="575"/>
      <c r="BF53" s="575"/>
      <c r="BG53" s="575"/>
      <c r="BH53" s="575"/>
      <c r="BI53" s="575"/>
      <c r="BJ53" s="575"/>
      <c r="BK53" s="575"/>
      <c r="BL53" s="575"/>
      <c r="BM53" s="575"/>
    </row>
    <row r="54" spans="1:65" s="573" customFormat="1" ht="3.75" customHeight="1" x14ac:dyDescent="0.3">
      <c r="A54" s="575"/>
      <c r="B54" s="575"/>
      <c r="C54" s="575"/>
      <c r="D54" s="575"/>
      <c r="E54" s="575"/>
      <c r="F54" s="575"/>
      <c r="G54" s="575"/>
      <c r="H54" s="575"/>
      <c r="I54" s="575"/>
      <c r="J54" s="575"/>
      <c r="K54" s="575"/>
      <c r="L54" s="575"/>
      <c r="M54" s="575"/>
      <c r="N54" s="575"/>
      <c r="O54" s="575"/>
      <c r="P54" s="575"/>
      <c r="Q54" s="575"/>
      <c r="R54" s="575"/>
      <c r="S54" s="575"/>
      <c r="T54" s="575"/>
      <c r="U54" s="575"/>
      <c r="V54" s="575"/>
      <c r="W54" s="575"/>
      <c r="X54" s="575"/>
      <c r="Y54" s="575"/>
      <c r="Z54" s="575"/>
      <c r="AA54" s="575"/>
      <c r="AB54" s="575"/>
      <c r="AC54" s="575"/>
      <c r="AD54" s="575"/>
      <c r="AE54" s="575"/>
      <c r="AF54" s="575"/>
      <c r="AG54" s="575"/>
      <c r="AH54" s="575"/>
      <c r="AI54" s="575"/>
      <c r="AJ54" s="587">
        <f>BTP_CORRIGIDO!Z53</f>
        <v>1</v>
      </c>
      <c r="AK54" s="577"/>
      <c r="AL54" s="577"/>
      <c r="AM54" s="577"/>
      <c r="AN54" s="575"/>
      <c r="AO54" s="583"/>
      <c r="AP54" s="577"/>
      <c r="AQ54" s="577"/>
      <c r="AR54" s="577"/>
      <c r="AS54" s="577"/>
      <c r="AT54" s="577"/>
      <c r="AU54" s="577"/>
      <c r="AV54" s="577"/>
      <c r="AW54" s="577"/>
      <c r="AX54" s="577"/>
      <c r="AY54" s="577"/>
      <c r="AZ54" s="577"/>
      <c r="BA54" s="577"/>
      <c r="BB54" s="577"/>
      <c r="BC54" s="577"/>
      <c r="BD54" s="575"/>
      <c r="BE54" s="575"/>
      <c r="BF54" s="575"/>
      <c r="BG54" s="575"/>
      <c r="BH54" s="575"/>
      <c r="BI54" s="575"/>
      <c r="BJ54" s="575"/>
      <c r="BK54" s="575"/>
      <c r="BL54" s="575"/>
      <c r="BM54" s="575"/>
    </row>
    <row r="55" spans="1:65" s="573" customFormat="1" ht="3.75" customHeight="1" x14ac:dyDescent="0.3">
      <c r="A55" s="575"/>
      <c r="B55" s="575"/>
      <c r="C55" s="575"/>
      <c r="D55" s="575"/>
      <c r="E55" s="575"/>
      <c r="F55" s="575"/>
      <c r="G55" s="575"/>
      <c r="H55" s="575"/>
      <c r="I55" s="575"/>
      <c r="J55" s="575"/>
      <c r="K55" s="575"/>
      <c r="L55" s="575"/>
      <c r="M55" s="575"/>
      <c r="N55" s="575"/>
      <c r="O55" s="575"/>
      <c r="P55" s="575"/>
      <c r="Q55" s="575"/>
      <c r="R55" s="575"/>
      <c r="S55" s="575"/>
      <c r="T55" s="575"/>
      <c r="U55" s="575"/>
      <c r="V55" s="575"/>
      <c r="W55" s="575"/>
      <c r="X55" s="575"/>
      <c r="Y55" s="575"/>
      <c r="Z55" s="575"/>
      <c r="AA55" s="575"/>
      <c r="AB55" s="575"/>
      <c r="AC55" s="575"/>
      <c r="AD55" s="575"/>
      <c r="AE55" s="575"/>
      <c r="AF55" s="575"/>
      <c r="AG55" s="575"/>
      <c r="AH55" s="575"/>
      <c r="AI55" s="575"/>
      <c r="AJ55" s="577"/>
      <c r="AK55" s="577"/>
      <c r="AL55" s="577"/>
      <c r="AM55" s="577"/>
      <c r="AN55" s="575"/>
      <c r="AO55" s="577"/>
      <c r="AP55" s="577"/>
      <c r="AQ55" s="577"/>
      <c r="AR55" s="577"/>
      <c r="AS55" s="577"/>
      <c r="AT55" s="577"/>
      <c r="AU55" s="577"/>
      <c r="AV55" s="577"/>
      <c r="AW55" s="577"/>
      <c r="AX55" s="577"/>
      <c r="AY55" s="577"/>
      <c r="AZ55" s="577"/>
      <c r="BA55" s="577"/>
      <c r="BB55" s="577"/>
      <c r="BC55" s="577"/>
      <c r="BD55" s="575"/>
      <c r="BE55" s="575"/>
      <c r="BF55" s="575"/>
      <c r="BG55" s="575"/>
      <c r="BH55" s="575"/>
      <c r="BI55" s="575"/>
      <c r="BJ55" s="575"/>
      <c r="BK55" s="575"/>
      <c r="BL55" s="575"/>
      <c r="BM55" s="575"/>
    </row>
    <row r="56" spans="1:65" s="573" customFormat="1" ht="3.75" customHeight="1" x14ac:dyDescent="0.3">
      <c r="A56" s="575"/>
      <c r="B56" s="575"/>
      <c r="C56" s="575"/>
      <c r="D56" s="575"/>
      <c r="E56" s="575"/>
      <c r="F56" s="575"/>
      <c r="G56" s="575"/>
      <c r="H56" s="575"/>
      <c r="I56" s="575"/>
      <c r="J56" s="575"/>
      <c r="K56" s="575"/>
      <c r="L56" s="575"/>
      <c r="M56" s="575"/>
      <c r="N56" s="575"/>
      <c r="O56" s="575"/>
      <c r="P56" s="575"/>
      <c r="Q56" s="575"/>
      <c r="R56" s="575"/>
      <c r="S56" s="575"/>
      <c r="T56" s="575"/>
      <c r="U56" s="575"/>
      <c r="V56" s="575"/>
      <c r="W56" s="575"/>
      <c r="X56" s="575"/>
      <c r="Y56" s="575"/>
      <c r="Z56" s="575"/>
      <c r="AA56" s="575"/>
      <c r="AB56" s="575"/>
      <c r="AC56" s="575"/>
      <c r="AD56" s="575"/>
      <c r="AE56" s="575"/>
      <c r="AF56" s="575"/>
      <c r="AG56" s="575"/>
      <c r="AH56" s="575"/>
      <c r="AI56" s="575"/>
      <c r="AJ56" s="577"/>
      <c r="AK56" s="577"/>
      <c r="AL56" s="577"/>
      <c r="AM56" s="577"/>
      <c r="AN56" s="575"/>
      <c r="AO56" s="577"/>
      <c r="AP56" s="577"/>
      <c r="AQ56" s="577"/>
      <c r="AR56" s="577"/>
      <c r="AS56" s="577"/>
      <c r="AT56" s="577"/>
      <c r="AU56" s="577"/>
      <c r="AV56" s="577"/>
      <c r="AW56" s="577"/>
      <c r="AX56" s="577"/>
      <c r="AY56" s="577"/>
      <c r="AZ56" s="577"/>
      <c r="BA56" s="577"/>
      <c r="BB56" s="577"/>
      <c r="BC56" s="577"/>
      <c r="BD56" s="575"/>
      <c r="BE56" s="575"/>
      <c r="BF56" s="575"/>
      <c r="BG56" s="575"/>
      <c r="BH56" s="575"/>
      <c r="BI56" s="575"/>
      <c r="BJ56" s="575"/>
      <c r="BK56" s="575"/>
      <c r="BL56" s="575"/>
      <c r="BM56" s="575"/>
    </row>
    <row r="57" spans="1:65" s="573" customFormat="1" ht="3.75" customHeight="1" x14ac:dyDescent="0.3">
      <c r="A57" s="575"/>
      <c r="B57" s="575"/>
      <c r="C57" s="575"/>
      <c r="D57" s="575"/>
      <c r="E57" s="575"/>
      <c r="F57" s="575"/>
      <c r="G57" s="575"/>
      <c r="H57" s="575"/>
      <c r="I57" s="575"/>
      <c r="J57" s="575"/>
      <c r="K57" s="575"/>
      <c r="L57" s="575"/>
      <c r="M57" s="575"/>
      <c r="N57" s="575"/>
      <c r="O57" s="575"/>
      <c r="P57" s="575"/>
      <c r="Q57" s="575"/>
      <c r="R57" s="575"/>
      <c r="S57" s="575"/>
      <c r="T57" s="575"/>
      <c r="U57" s="575"/>
      <c r="V57" s="575"/>
      <c r="W57" s="575"/>
      <c r="X57" s="575"/>
      <c r="Y57" s="575"/>
      <c r="Z57" s="575"/>
      <c r="AA57" s="575"/>
      <c r="AB57" s="575"/>
      <c r="AC57" s="575"/>
      <c r="AD57" s="575"/>
      <c r="AE57" s="575"/>
      <c r="AF57" s="575"/>
      <c r="AG57" s="575"/>
      <c r="AH57" s="575"/>
      <c r="AI57" s="575"/>
      <c r="AJ57" s="575"/>
      <c r="AK57" s="575"/>
      <c r="AL57" s="575"/>
      <c r="AM57" s="575"/>
      <c r="AN57" s="575"/>
      <c r="AO57" s="575"/>
      <c r="AP57" s="575"/>
      <c r="AQ57" s="575"/>
      <c r="AR57" s="575"/>
      <c r="AS57" s="575"/>
      <c r="AT57" s="575"/>
      <c r="AU57" s="575"/>
      <c r="AV57" s="575"/>
      <c r="AW57" s="575"/>
      <c r="AX57" s="575"/>
      <c r="AY57" s="575"/>
      <c r="AZ57" s="575"/>
      <c r="BA57" s="575"/>
      <c r="BB57" s="575"/>
      <c r="BC57" s="575"/>
      <c r="BD57" s="575"/>
      <c r="BE57" s="575"/>
      <c r="BF57" s="575"/>
      <c r="BG57" s="575"/>
      <c r="BH57" s="575"/>
      <c r="BI57" s="575"/>
      <c r="BJ57" s="575"/>
      <c r="BK57" s="575"/>
      <c r="BL57" s="575"/>
      <c r="BM57" s="575"/>
    </row>
    <row r="58" spans="1:65" s="573" customFormat="1" ht="3.75" customHeight="1" x14ac:dyDescent="0.3">
      <c r="A58" s="575"/>
      <c r="B58" s="575"/>
      <c r="C58" s="575"/>
      <c r="D58" s="575"/>
      <c r="E58" s="575"/>
      <c r="F58" s="575"/>
      <c r="G58" s="575"/>
      <c r="H58" s="575"/>
      <c r="I58" s="575"/>
      <c r="J58" s="575"/>
      <c r="K58" s="575"/>
      <c r="L58" s="575"/>
      <c r="M58" s="575"/>
      <c r="N58" s="575"/>
      <c r="O58" s="575"/>
      <c r="P58" s="575"/>
      <c r="Q58" s="575"/>
      <c r="R58" s="575"/>
      <c r="S58" s="575"/>
      <c r="T58" s="575"/>
      <c r="U58" s="575"/>
      <c r="V58" s="575"/>
      <c r="W58" s="575"/>
      <c r="X58" s="575"/>
      <c r="Y58" s="575"/>
      <c r="Z58" s="575"/>
      <c r="AA58" s="575"/>
      <c r="AB58" s="575"/>
      <c r="AC58" s="575"/>
      <c r="AD58" s="575"/>
      <c r="AE58" s="575"/>
      <c r="AF58" s="575"/>
      <c r="AG58" s="575"/>
      <c r="AH58" s="575"/>
      <c r="AI58" s="575"/>
      <c r="AJ58" s="575"/>
      <c r="AK58" s="575"/>
      <c r="AL58" s="575"/>
      <c r="AM58" s="575"/>
      <c r="AN58" s="575"/>
      <c r="AO58" s="575"/>
      <c r="AP58" s="575"/>
      <c r="AQ58" s="575"/>
      <c r="AR58" s="575"/>
      <c r="AS58" s="575"/>
      <c r="AT58" s="575"/>
      <c r="AU58" s="575"/>
      <c r="AV58" s="575"/>
      <c r="AW58" s="575"/>
      <c r="AX58" s="575"/>
      <c r="AY58" s="575"/>
      <c r="AZ58" s="575"/>
      <c r="BA58" s="575"/>
      <c r="BB58" s="575"/>
      <c r="BC58" s="575"/>
      <c r="BD58" s="575"/>
      <c r="BE58" s="575"/>
      <c r="BF58" s="575"/>
      <c r="BG58" s="575"/>
      <c r="BH58" s="575"/>
      <c r="BI58" s="575"/>
      <c r="BJ58" s="575"/>
      <c r="BK58" s="575"/>
      <c r="BL58" s="575"/>
      <c r="BM58" s="575"/>
    </row>
    <row r="59" spans="1:65" s="573" customFormat="1" ht="3.75" customHeight="1" x14ac:dyDescent="0.3">
      <c r="A59" s="575"/>
      <c r="B59" s="575"/>
      <c r="C59" s="575"/>
      <c r="D59" s="575"/>
      <c r="E59" s="575"/>
      <c r="F59" s="575"/>
      <c r="G59" s="575"/>
      <c r="H59" s="575"/>
      <c r="I59" s="575"/>
      <c r="J59" s="575"/>
      <c r="K59" s="575"/>
      <c r="L59" s="575"/>
      <c r="M59" s="575"/>
      <c r="N59" s="575"/>
      <c r="O59" s="575"/>
      <c r="P59" s="575"/>
      <c r="Q59" s="575"/>
      <c r="R59" s="575"/>
      <c r="S59" s="575"/>
      <c r="T59" s="575"/>
      <c r="U59" s="575"/>
      <c r="V59" s="575"/>
      <c r="W59" s="575"/>
      <c r="X59" s="575"/>
      <c r="Y59" s="575"/>
      <c r="Z59" s="575"/>
      <c r="AA59" s="575"/>
      <c r="AB59" s="575"/>
      <c r="AC59" s="575"/>
      <c r="AD59" s="575"/>
      <c r="AE59" s="575"/>
      <c r="AF59" s="575"/>
      <c r="AG59" s="575"/>
      <c r="AH59" s="575"/>
      <c r="AI59" s="575"/>
      <c r="AJ59" s="575"/>
      <c r="AK59" s="575"/>
      <c r="AL59" s="575"/>
      <c r="AM59" s="575"/>
      <c r="AN59" s="575"/>
      <c r="AO59" s="575"/>
      <c r="AP59" s="575"/>
      <c r="AQ59" s="575"/>
      <c r="AR59" s="575"/>
      <c r="AS59" s="575"/>
      <c r="AT59" s="575"/>
      <c r="AU59" s="575"/>
      <c r="AV59" s="575"/>
      <c r="AW59" s="575"/>
      <c r="AX59" s="575"/>
      <c r="AY59" s="575"/>
      <c r="AZ59" s="602">
        <f>BTP_CORRIGIDO!M7</f>
        <v>45311.791666666642</v>
      </c>
      <c r="BA59" s="577"/>
      <c r="BB59" s="577"/>
      <c r="BC59" s="577"/>
      <c r="BD59" s="577"/>
      <c r="BE59" s="577"/>
      <c r="BF59" s="575"/>
      <c r="BG59" s="588">
        <f>BTP_CORRIGIDO!M7</f>
        <v>45311.791666666642</v>
      </c>
      <c r="BH59" s="579"/>
      <c r="BI59" s="579"/>
      <c r="BJ59" s="575"/>
      <c r="BK59" s="575"/>
      <c r="BL59" s="575"/>
      <c r="BM59" s="575"/>
    </row>
    <row r="60" spans="1:65" s="573" customFormat="1" ht="3.75" customHeight="1" x14ac:dyDescent="0.3">
      <c r="A60" s="575"/>
      <c r="B60" s="575"/>
      <c r="C60" s="575"/>
      <c r="D60" s="575"/>
      <c r="E60" s="575"/>
      <c r="F60" s="575"/>
      <c r="G60" s="575"/>
      <c r="H60" s="575"/>
      <c r="I60" s="575"/>
      <c r="J60" s="575"/>
      <c r="K60" s="575"/>
      <c r="L60" s="575"/>
      <c r="M60" s="575"/>
      <c r="N60" s="575"/>
      <c r="O60" s="575"/>
      <c r="P60" s="575"/>
      <c r="Q60" s="575"/>
      <c r="R60" s="575"/>
      <c r="S60" s="575"/>
      <c r="T60" s="575"/>
      <c r="U60" s="575"/>
      <c r="V60" s="575"/>
      <c r="W60" s="575"/>
      <c r="X60" s="575"/>
      <c r="Y60" s="575"/>
      <c r="Z60" s="575"/>
      <c r="AA60" s="575"/>
      <c r="AB60" s="575"/>
      <c r="AC60" s="575"/>
      <c r="AD60" s="575"/>
      <c r="AE60" s="575"/>
      <c r="AF60" s="575"/>
      <c r="AG60" s="575"/>
      <c r="AH60" s="575"/>
      <c r="AI60" s="575"/>
      <c r="AJ60" s="575"/>
      <c r="AK60" s="575"/>
      <c r="AL60" s="575"/>
      <c r="AM60" s="575"/>
      <c r="AN60" s="575"/>
      <c r="AO60" s="575"/>
      <c r="AP60" s="575"/>
      <c r="AQ60" s="575"/>
      <c r="AR60" s="575"/>
      <c r="AS60" s="575"/>
      <c r="AT60" s="575"/>
      <c r="AU60" s="575"/>
      <c r="AV60" s="575"/>
      <c r="AW60" s="575"/>
      <c r="AX60" s="575"/>
      <c r="AY60" s="575"/>
      <c r="AZ60" s="577"/>
      <c r="BA60" s="577"/>
      <c r="BB60" s="577"/>
      <c r="BC60" s="577"/>
      <c r="BD60" s="577"/>
      <c r="BE60" s="577"/>
      <c r="BF60" s="575"/>
      <c r="BG60" s="579"/>
      <c r="BH60" s="579"/>
      <c r="BI60" s="579"/>
      <c r="BJ60" s="575"/>
      <c r="BK60" s="575"/>
      <c r="BL60" s="575"/>
      <c r="BM60" s="575"/>
    </row>
    <row r="61" spans="1:65" s="573" customFormat="1" ht="3.75" customHeight="1" x14ac:dyDescent="0.3">
      <c r="A61" s="575"/>
      <c r="B61" s="575"/>
      <c r="C61" s="575"/>
      <c r="D61" s="575"/>
      <c r="E61" s="575"/>
      <c r="F61" s="575"/>
      <c r="G61" s="575"/>
      <c r="H61" s="575"/>
      <c r="I61" s="575"/>
      <c r="J61" s="575"/>
      <c r="K61" s="575"/>
      <c r="L61" s="575"/>
      <c r="M61" s="575"/>
      <c r="N61" s="575"/>
      <c r="O61" s="575"/>
      <c r="P61" s="575"/>
      <c r="Q61" s="575"/>
      <c r="R61" s="575"/>
      <c r="S61" s="575"/>
      <c r="T61" s="575"/>
      <c r="U61" s="575"/>
      <c r="V61" s="575"/>
      <c r="W61" s="575"/>
      <c r="X61" s="575"/>
      <c r="Y61" s="575"/>
      <c r="Z61" s="575"/>
      <c r="AA61" s="575"/>
      <c r="AB61" s="575"/>
      <c r="AC61" s="575"/>
      <c r="AD61" s="575"/>
      <c r="AE61" s="575"/>
      <c r="AF61" s="575"/>
      <c r="AG61" s="575"/>
      <c r="AH61" s="575"/>
      <c r="AI61" s="575"/>
      <c r="AJ61" s="575"/>
      <c r="AK61" s="575"/>
      <c r="AL61" s="575"/>
      <c r="AM61" s="575"/>
      <c r="AN61" s="575"/>
      <c r="AO61" s="575"/>
      <c r="AP61" s="575"/>
      <c r="AQ61" s="575"/>
      <c r="AR61" s="575"/>
      <c r="AS61" s="575"/>
      <c r="AT61" s="575"/>
      <c r="AU61" s="575"/>
      <c r="AV61" s="575"/>
      <c r="AW61" s="575"/>
      <c r="AX61" s="575"/>
      <c r="AY61" s="575"/>
      <c r="AZ61" s="577"/>
      <c r="BA61" s="577"/>
      <c r="BB61" s="577"/>
      <c r="BC61" s="577"/>
      <c r="BD61" s="577"/>
      <c r="BE61" s="577"/>
      <c r="BF61" s="575"/>
      <c r="BG61" s="579"/>
      <c r="BH61" s="579"/>
      <c r="BI61" s="579"/>
      <c r="BJ61" s="575"/>
      <c r="BK61" s="575"/>
      <c r="BL61" s="575"/>
      <c r="BM61" s="575"/>
    </row>
    <row r="62" spans="1:65" s="573" customFormat="1" ht="3.75" customHeight="1" x14ac:dyDescent="0.3">
      <c r="A62" s="575"/>
      <c r="B62" s="575"/>
      <c r="C62" s="575"/>
      <c r="D62" s="575"/>
      <c r="E62" s="575"/>
      <c r="F62" s="575"/>
      <c r="G62" s="575"/>
      <c r="H62" s="575"/>
      <c r="I62" s="575"/>
      <c r="J62" s="575"/>
      <c r="K62" s="575"/>
      <c r="L62" s="575"/>
      <c r="M62" s="575"/>
      <c r="N62" s="575"/>
      <c r="O62" s="575"/>
      <c r="P62" s="575"/>
      <c r="Q62" s="575"/>
      <c r="R62" s="575"/>
      <c r="S62" s="575"/>
      <c r="T62" s="575"/>
      <c r="U62" s="575"/>
      <c r="V62" s="575"/>
      <c r="W62" s="575"/>
      <c r="X62" s="575"/>
      <c r="Y62" s="575"/>
      <c r="Z62" s="575"/>
      <c r="AA62" s="575"/>
      <c r="AB62" s="575"/>
      <c r="AC62" s="575"/>
      <c r="AD62" s="575"/>
      <c r="AE62" s="575"/>
      <c r="AF62" s="575"/>
      <c r="AG62" s="575"/>
      <c r="AH62" s="575"/>
      <c r="AI62" s="575"/>
      <c r="AJ62" s="575"/>
      <c r="AK62" s="575"/>
      <c r="AL62" s="575"/>
      <c r="AM62" s="575"/>
      <c r="AN62" s="575"/>
      <c r="AO62" s="575"/>
      <c r="AP62" s="575"/>
      <c r="AQ62" s="575"/>
      <c r="AR62" s="575"/>
      <c r="AS62" s="575"/>
      <c r="AT62" s="575"/>
      <c r="AU62" s="575"/>
      <c r="AV62" s="575"/>
      <c r="AW62" s="575"/>
      <c r="AX62" s="575"/>
      <c r="AY62" s="575"/>
      <c r="AZ62" s="577"/>
      <c r="BA62" s="577"/>
      <c r="BB62" s="577"/>
      <c r="BC62" s="577"/>
      <c r="BD62" s="577"/>
      <c r="BE62" s="577"/>
      <c r="BF62" s="575"/>
      <c r="BG62" s="579"/>
      <c r="BH62" s="579"/>
      <c r="BI62" s="579"/>
      <c r="BJ62" s="575"/>
      <c r="BK62" s="575"/>
      <c r="BL62" s="575"/>
      <c r="BM62" s="575"/>
    </row>
    <row r="63" spans="1:65" s="573" customFormat="1" ht="3.75" customHeight="1" x14ac:dyDescent="0.3">
      <c r="A63" s="575"/>
      <c r="B63" s="575"/>
      <c r="C63" s="575"/>
      <c r="D63" s="575"/>
      <c r="E63" s="575"/>
      <c r="F63" s="575"/>
      <c r="G63" s="575"/>
      <c r="H63" s="575"/>
      <c r="I63" s="575"/>
      <c r="J63" s="575"/>
      <c r="K63" s="575"/>
      <c r="L63" s="575"/>
      <c r="M63" s="575"/>
      <c r="N63" s="575"/>
      <c r="O63" s="575"/>
      <c r="P63" s="575"/>
      <c r="Q63" s="575"/>
      <c r="R63" s="575"/>
      <c r="S63" s="575"/>
      <c r="T63" s="575"/>
      <c r="U63" s="575"/>
      <c r="V63" s="575"/>
      <c r="W63" s="575"/>
      <c r="X63" s="575"/>
      <c r="Y63" s="575"/>
      <c r="Z63" s="575"/>
      <c r="AA63" s="575"/>
      <c r="AB63" s="575"/>
      <c r="AC63" s="575"/>
      <c r="AD63" s="575"/>
      <c r="AE63" s="575"/>
      <c r="AF63" s="575"/>
      <c r="AG63" s="575"/>
      <c r="AH63" s="575"/>
      <c r="AI63" s="575"/>
      <c r="AJ63" s="575"/>
      <c r="AK63" s="575"/>
      <c r="AL63" s="575"/>
      <c r="AM63" s="575"/>
      <c r="AN63" s="575"/>
      <c r="AO63" s="575"/>
      <c r="AP63" s="575"/>
      <c r="AQ63" s="575"/>
      <c r="AR63" s="575"/>
      <c r="AS63" s="575"/>
      <c r="AT63" s="575"/>
      <c r="AU63" s="575"/>
      <c r="AV63" s="575"/>
      <c r="AW63" s="575"/>
      <c r="AX63" s="575"/>
      <c r="AY63" s="575"/>
      <c r="AZ63" s="575"/>
      <c r="BA63" s="575"/>
      <c r="BB63" s="575"/>
      <c r="BC63" s="575"/>
      <c r="BD63" s="575"/>
      <c r="BE63" s="575"/>
      <c r="BF63" s="575"/>
      <c r="BG63" s="575"/>
      <c r="BH63" s="575"/>
      <c r="BI63" s="575"/>
      <c r="BJ63" s="575"/>
      <c r="BK63" s="575"/>
      <c r="BL63" s="575"/>
      <c r="BM63" s="575"/>
    </row>
    <row r="64" spans="1:65" s="573" customFormat="1" ht="3.75" customHeight="1" x14ac:dyDescent="0.3">
      <c r="A64" s="575"/>
      <c r="B64" s="575"/>
      <c r="C64" s="575"/>
      <c r="D64" s="575"/>
      <c r="E64" s="575"/>
      <c r="F64" s="575"/>
      <c r="G64" s="575"/>
      <c r="H64" s="575"/>
      <c r="I64" s="575"/>
      <c r="J64" s="575"/>
      <c r="K64" s="575"/>
      <c r="L64" s="575"/>
      <c r="M64" s="575"/>
      <c r="N64" s="575"/>
      <c r="O64" s="575"/>
      <c r="P64" s="577" t="s">
        <v>1108</v>
      </c>
      <c r="Q64" s="577"/>
      <c r="R64" s="577"/>
      <c r="S64" s="577"/>
      <c r="T64" s="577"/>
      <c r="U64" s="577"/>
      <c r="V64" s="577"/>
      <c r="W64" s="577"/>
      <c r="X64" s="577"/>
      <c r="Y64" s="577"/>
      <c r="Z64" s="577"/>
      <c r="AA64" s="577"/>
      <c r="AB64" s="577"/>
      <c r="AC64" s="577"/>
      <c r="AD64" s="577"/>
      <c r="AE64" s="577"/>
      <c r="AF64" s="577"/>
      <c r="AG64" s="577"/>
      <c r="AH64" s="577"/>
      <c r="AI64" s="577"/>
      <c r="AJ64" s="577"/>
      <c r="AK64" s="577"/>
      <c r="AL64" s="577"/>
      <c r="AM64" s="577"/>
      <c r="AN64" s="577"/>
      <c r="AO64" s="577"/>
      <c r="AP64" s="577"/>
      <c r="AQ64" s="577"/>
      <c r="AR64" s="577"/>
      <c r="AS64" s="575"/>
      <c r="AT64" s="575"/>
      <c r="AU64" s="575"/>
      <c r="AV64" s="575"/>
      <c r="AW64" s="575"/>
      <c r="AX64" s="589" t="s">
        <v>1106</v>
      </c>
      <c r="AY64" s="589"/>
      <c r="AZ64" s="589"/>
      <c r="BA64" s="590"/>
      <c r="BB64" s="575"/>
      <c r="BC64" s="575"/>
      <c r="BD64" s="575"/>
      <c r="BE64" s="575"/>
      <c r="BF64" s="575"/>
      <c r="BG64" s="575"/>
      <c r="BH64" s="575"/>
      <c r="BI64" s="575"/>
      <c r="BJ64" s="575"/>
      <c r="BK64" s="575"/>
      <c r="BL64" s="575"/>
      <c r="BM64" s="575"/>
    </row>
    <row r="65" spans="1:65" s="573" customFormat="1" ht="3.75" customHeight="1" x14ac:dyDescent="0.3">
      <c r="A65" s="575"/>
      <c r="B65" s="575"/>
      <c r="C65" s="575"/>
      <c r="D65" s="575"/>
      <c r="E65" s="575"/>
      <c r="F65" s="575"/>
      <c r="G65" s="575"/>
      <c r="H65" s="575"/>
      <c r="I65" s="575"/>
      <c r="J65" s="575"/>
      <c r="K65" s="575"/>
      <c r="L65" s="575"/>
      <c r="M65" s="575"/>
      <c r="N65" s="575"/>
      <c r="O65" s="575"/>
      <c r="P65" s="577"/>
      <c r="Q65" s="577"/>
      <c r="R65" s="577"/>
      <c r="S65" s="577"/>
      <c r="T65" s="577"/>
      <c r="U65" s="577"/>
      <c r="V65" s="577"/>
      <c r="W65" s="577"/>
      <c r="X65" s="577"/>
      <c r="Y65" s="577"/>
      <c r="Z65" s="577"/>
      <c r="AA65" s="577"/>
      <c r="AB65" s="577"/>
      <c r="AC65" s="577"/>
      <c r="AD65" s="577"/>
      <c r="AE65" s="577"/>
      <c r="AF65" s="577"/>
      <c r="AG65" s="577"/>
      <c r="AH65" s="577"/>
      <c r="AI65" s="577"/>
      <c r="AJ65" s="577"/>
      <c r="AK65" s="577"/>
      <c r="AL65" s="577"/>
      <c r="AM65" s="577"/>
      <c r="AN65" s="577"/>
      <c r="AO65" s="577"/>
      <c r="AP65" s="577"/>
      <c r="AQ65" s="577"/>
      <c r="AR65" s="577"/>
      <c r="AS65" s="575"/>
      <c r="AT65" s="575"/>
      <c r="AU65" s="575"/>
      <c r="AV65" s="575"/>
      <c r="AW65" s="575"/>
      <c r="AX65" s="589"/>
      <c r="AY65" s="589"/>
      <c r="AZ65" s="589"/>
      <c r="BA65" s="590"/>
      <c r="BB65" s="575"/>
      <c r="BC65" s="575"/>
      <c r="BD65" s="575"/>
      <c r="BE65" s="575"/>
      <c r="BF65" s="575"/>
      <c r="BG65" s="575"/>
      <c r="BH65" s="575"/>
      <c r="BI65" s="575"/>
      <c r="BJ65" s="575"/>
      <c r="BK65" s="575"/>
      <c r="BL65" s="575"/>
      <c r="BM65" s="575"/>
    </row>
    <row r="66" spans="1:65" s="573" customFormat="1" ht="3.75" customHeight="1" x14ac:dyDescent="0.3">
      <c r="A66" s="575"/>
      <c r="B66" s="575"/>
      <c r="C66" s="575"/>
      <c r="D66" s="575"/>
      <c r="E66" s="575"/>
      <c r="F66" s="575"/>
      <c r="G66" s="575"/>
      <c r="H66" s="575"/>
      <c r="I66" s="575"/>
      <c r="J66" s="575"/>
      <c r="K66" s="575"/>
      <c r="L66" s="575"/>
      <c r="M66" s="575"/>
      <c r="N66" s="575"/>
      <c r="O66" s="575"/>
      <c r="P66" s="577"/>
      <c r="Q66" s="577"/>
      <c r="R66" s="577"/>
      <c r="S66" s="577"/>
      <c r="T66" s="577"/>
      <c r="U66" s="577"/>
      <c r="V66" s="577"/>
      <c r="W66" s="577"/>
      <c r="X66" s="577"/>
      <c r="Y66" s="577"/>
      <c r="Z66" s="577"/>
      <c r="AA66" s="577"/>
      <c r="AB66" s="577"/>
      <c r="AC66" s="577"/>
      <c r="AD66" s="577"/>
      <c r="AE66" s="577"/>
      <c r="AF66" s="577"/>
      <c r="AG66" s="577"/>
      <c r="AH66" s="577"/>
      <c r="AI66" s="577"/>
      <c r="AJ66" s="577"/>
      <c r="AK66" s="577"/>
      <c r="AL66" s="577"/>
      <c r="AM66" s="577"/>
      <c r="AN66" s="577"/>
      <c r="AO66" s="577"/>
      <c r="AP66" s="577"/>
      <c r="AQ66" s="577"/>
      <c r="AR66" s="577"/>
      <c r="AS66" s="575"/>
      <c r="AT66" s="575"/>
      <c r="AU66" s="575"/>
      <c r="AV66" s="575"/>
      <c r="AW66" s="575"/>
      <c r="AX66" s="589"/>
      <c r="AY66" s="589"/>
      <c r="AZ66" s="589"/>
      <c r="BA66" s="590"/>
      <c r="BB66" s="575"/>
      <c r="BC66" s="575"/>
      <c r="BD66" s="575"/>
      <c r="BE66" s="575"/>
      <c r="BF66" s="575"/>
      <c r="BG66" s="575"/>
      <c r="BH66" s="575"/>
      <c r="BI66" s="575"/>
      <c r="BJ66" s="575"/>
      <c r="BK66" s="575"/>
      <c r="BL66" s="575"/>
      <c r="BM66" s="575"/>
    </row>
    <row r="67" spans="1:65" s="573" customFormat="1" ht="3.75" customHeight="1" x14ac:dyDescent="0.3">
      <c r="A67" s="575"/>
      <c r="B67" s="575"/>
      <c r="C67" s="575"/>
      <c r="D67" s="575"/>
      <c r="E67" s="575"/>
      <c r="F67" s="575"/>
      <c r="G67" s="575"/>
      <c r="H67" s="575"/>
      <c r="I67" s="575"/>
      <c r="J67" s="575"/>
      <c r="K67" s="575"/>
      <c r="L67" s="575"/>
      <c r="M67" s="575"/>
      <c r="N67" s="575"/>
      <c r="O67" s="575"/>
      <c r="P67" s="577"/>
      <c r="Q67" s="577"/>
      <c r="R67" s="577"/>
      <c r="S67" s="577"/>
      <c r="T67" s="577"/>
      <c r="U67" s="577"/>
      <c r="V67" s="577"/>
      <c r="W67" s="577"/>
      <c r="X67" s="577"/>
      <c r="Y67" s="577"/>
      <c r="Z67" s="577"/>
      <c r="AA67" s="577"/>
      <c r="AB67" s="577"/>
      <c r="AC67" s="577"/>
      <c r="AD67" s="577"/>
      <c r="AE67" s="577"/>
      <c r="AF67" s="577"/>
      <c r="AG67" s="577"/>
      <c r="AH67" s="577"/>
      <c r="AI67" s="577"/>
      <c r="AJ67" s="577"/>
      <c r="AK67" s="577"/>
      <c r="AL67" s="577"/>
      <c r="AM67" s="577"/>
      <c r="AN67" s="577"/>
      <c r="AO67" s="577"/>
      <c r="AP67" s="577"/>
      <c r="AQ67" s="577"/>
      <c r="AR67" s="577"/>
      <c r="AS67" s="575"/>
      <c r="AT67" s="575"/>
      <c r="AU67" s="575"/>
      <c r="AV67" s="575"/>
      <c r="AW67" s="575"/>
      <c r="AX67" s="589"/>
      <c r="AY67" s="589"/>
      <c r="AZ67" s="589"/>
      <c r="BA67" s="590"/>
      <c r="BB67" s="575"/>
      <c r="BC67" s="575"/>
      <c r="BD67" s="575"/>
      <c r="BE67" s="575"/>
      <c r="BF67" s="575"/>
      <c r="BG67" s="575"/>
      <c r="BH67" s="575"/>
      <c r="BI67" s="575"/>
      <c r="BJ67" s="575"/>
      <c r="BK67" s="575"/>
      <c r="BL67" s="575"/>
      <c r="BM67" s="575"/>
    </row>
    <row r="68" spans="1:65" s="573" customFormat="1" ht="3.75" customHeight="1" x14ac:dyDescent="0.3">
      <c r="A68" s="575"/>
      <c r="B68" s="575"/>
      <c r="C68" s="575"/>
      <c r="D68" s="575"/>
      <c r="E68" s="575"/>
      <c r="F68" s="575"/>
      <c r="G68" s="575"/>
      <c r="H68" s="575"/>
      <c r="I68" s="575"/>
      <c r="J68" s="575"/>
      <c r="K68" s="575"/>
      <c r="L68" s="575"/>
      <c r="M68" s="575"/>
      <c r="N68" s="575"/>
      <c r="O68" s="575"/>
      <c r="P68" s="575"/>
      <c r="Q68" s="575"/>
      <c r="R68" s="575"/>
      <c r="S68" s="575"/>
      <c r="T68" s="575"/>
      <c r="U68" s="575"/>
      <c r="V68" s="575"/>
      <c r="W68" s="575"/>
      <c r="X68" s="575"/>
      <c r="Y68" s="575"/>
      <c r="Z68" s="575"/>
      <c r="AA68" s="575"/>
      <c r="AB68" s="575"/>
      <c r="AC68" s="575"/>
      <c r="AD68" s="575"/>
      <c r="AE68" s="575"/>
      <c r="AF68" s="575"/>
      <c r="AG68" s="575"/>
      <c r="AH68" s="575"/>
      <c r="AI68" s="575"/>
      <c r="AJ68" s="575"/>
      <c r="AK68" s="575"/>
      <c r="AL68" s="575"/>
      <c r="AM68" s="575"/>
      <c r="AN68" s="575"/>
      <c r="AO68" s="575"/>
      <c r="AP68" s="575"/>
      <c r="AQ68" s="575"/>
      <c r="AR68" s="575"/>
      <c r="AS68" s="575"/>
      <c r="AT68" s="575"/>
      <c r="AU68" s="575"/>
      <c r="AV68" s="575"/>
      <c r="AW68" s="575"/>
      <c r="AX68" s="575"/>
      <c r="AY68" s="575"/>
      <c r="AZ68" s="575"/>
      <c r="BA68" s="591"/>
      <c r="BB68" s="575"/>
      <c r="BC68" s="575"/>
      <c r="BD68" s="575"/>
      <c r="BE68" s="575"/>
      <c r="BF68" s="575"/>
      <c r="BG68" s="575"/>
      <c r="BH68" s="575"/>
      <c r="BI68" s="575"/>
      <c r="BJ68" s="575"/>
      <c r="BK68" s="575"/>
      <c r="BL68" s="575"/>
      <c r="BM68" s="575"/>
    </row>
    <row r="69" spans="1:65" s="573" customFormat="1" ht="3.75" customHeight="1" x14ac:dyDescent="0.3">
      <c r="A69" s="575"/>
      <c r="B69" s="575"/>
      <c r="C69" s="575"/>
      <c r="D69" s="575"/>
      <c r="E69" s="575"/>
      <c r="F69" s="575"/>
      <c r="G69" s="575"/>
      <c r="H69" s="575"/>
      <c r="I69" s="575"/>
      <c r="J69" s="575"/>
      <c r="K69" s="575"/>
      <c r="L69" s="575"/>
      <c r="M69" s="575"/>
      <c r="N69" s="575"/>
      <c r="O69" s="575"/>
      <c r="P69" s="575"/>
      <c r="Q69" s="575"/>
      <c r="R69" s="575"/>
      <c r="S69" s="575"/>
      <c r="T69" s="575"/>
      <c r="U69" s="575"/>
      <c r="V69" s="575"/>
      <c r="W69" s="575"/>
      <c r="X69" s="575"/>
      <c r="Y69" s="575"/>
      <c r="Z69" s="575"/>
      <c r="AA69" s="575"/>
      <c r="AB69" s="575"/>
      <c r="AC69" s="575"/>
      <c r="AD69" s="575"/>
      <c r="AE69" s="575"/>
      <c r="AF69" s="575"/>
      <c r="AG69" s="575"/>
      <c r="AH69" s="575"/>
      <c r="AI69" s="575"/>
      <c r="AJ69" s="575"/>
      <c r="AK69" s="575"/>
      <c r="AL69" s="575"/>
      <c r="AM69" s="575"/>
      <c r="AN69" s="575"/>
      <c r="AO69" s="575"/>
      <c r="AP69" s="575"/>
      <c r="AQ69" s="575"/>
      <c r="AR69" s="575"/>
      <c r="AS69" s="575"/>
      <c r="AT69" s="575"/>
      <c r="AU69" s="575"/>
      <c r="AV69" s="575"/>
      <c r="AW69" s="575"/>
      <c r="AX69" s="575"/>
      <c r="AY69" s="575"/>
      <c r="AZ69" s="575"/>
      <c r="BA69" s="575"/>
      <c r="BB69" s="575"/>
      <c r="BC69" s="575"/>
      <c r="BD69" s="575"/>
      <c r="BE69" s="575"/>
      <c r="BF69" s="575"/>
      <c r="BG69" s="575"/>
      <c r="BH69" s="575"/>
      <c r="BI69" s="575"/>
      <c r="BJ69" s="575"/>
      <c r="BK69" s="575"/>
      <c r="BL69" s="575"/>
      <c r="BM69" s="575"/>
    </row>
    <row r="70" spans="1:65" s="573" customFormat="1" ht="3.75" customHeight="1" x14ac:dyDescent="0.3">
      <c r="A70" s="575"/>
      <c r="B70" s="575"/>
      <c r="C70" s="575"/>
      <c r="D70" s="575"/>
      <c r="E70" s="575"/>
      <c r="F70" s="575"/>
      <c r="G70" s="575"/>
      <c r="H70" s="575"/>
      <c r="I70" s="575"/>
      <c r="J70" s="575"/>
      <c r="K70" s="575"/>
      <c r="L70" s="575"/>
      <c r="M70" s="575"/>
      <c r="N70" s="575"/>
      <c r="O70" s="575"/>
      <c r="P70" s="575"/>
      <c r="Q70" s="575"/>
      <c r="R70" s="575"/>
      <c r="S70" s="575"/>
      <c r="T70" s="575"/>
      <c r="U70" s="575"/>
      <c r="V70" s="575"/>
      <c r="W70" s="575"/>
      <c r="X70" s="575"/>
      <c r="Y70" s="575"/>
      <c r="Z70" s="575"/>
      <c r="AA70" s="575"/>
      <c r="AB70" s="575"/>
      <c r="AC70" s="575"/>
      <c r="AD70" s="575"/>
      <c r="AE70" s="575"/>
      <c r="AF70" s="575"/>
      <c r="AG70" s="575"/>
      <c r="AH70" s="575"/>
      <c r="AI70" s="575"/>
      <c r="AJ70" s="575"/>
      <c r="AK70" s="575"/>
      <c r="AL70" s="575"/>
      <c r="AM70" s="575"/>
      <c r="AN70" s="575"/>
      <c r="AO70" s="575"/>
      <c r="AP70" s="575"/>
      <c r="AQ70" s="575"/>
      <c r="AR70" s="575"/>
      <c r="AS70" s="575"/>
      <c r="AT70" s="575"/>
      <c r="AU70" s="575"/>
      <c r="AV70" s="575"/>
      <c r="AW70" s="575"/>
      <c r="AX70" s="575"/>
      <c r="AY70" s="575"/>
      <c r="AZ70" s="575"/>
      <c r="BA70" s="575"/>
      <c r="BB70" s="575"/>
      <c r="BC70" s="575"/>
      <c r="BD70" s="575"/>
      <c r="BE70" s="575"/>
      <c r="BF70" s="575"/>
      <c r="BG70" s="575"/>
      <c r="BH70" s="575"/>
      <c r="BI70" s="575"/>
      <c r="BJ70" s="575"/>
      <c r="BK70" s="575"/>
      <c r="BL70" s="575"/>
      <c r="BM70" s="575"/>
    </row>
    <row r="71" spans="1:65" s="573" customFormat="1" ht="3.75" customHeight="1" x14ac:dyDescent="0.3">
      <c r="A71" s="575"/>
      <c r="B71" s="575"/>
      <c r="C71" s="575"/>
      <c r="D71" s="575"/>
      <c r="E71" s="575"/>
      <c r="F71" s="575"/>
      <c r="G71" s="575"/>
      <c r="H71" s="575"/>
      <c r="I71" s="575"/>
      <c r="J71" s="575"/>
      <c r="K71" s="575"/>
      <c r="L71" s="575"/>
      <c r="M71" s="575"/>
      <c r="N71" s="575"/>
      <c r="O71" s="575"/>
      <c r="P71" s="575"/>
      <c r="Q71" s="575"/>
      <c r="R71" s="575"/>
      <c r="S71" s="575"/>
      <c r="T71" s="575"/>
      <c r="U71" s="575"/>
      <c r="V71" s="575"/>
      <c r="W71" s="575"/>
      <c r="X71" s="575"/>
      <c r="Y71" s="575"/>
      <c r="Z71" s="575"/>
      <c r="AA71" s="575"/>
      <c r="AB71" s="575"/>
      <c r="AC71" s="575"/>
      <c r="AD71" s="575"/>
      <c r="AE71" s="575"/>
      <c r="AF71" s="575"/>
      <c r="AG71" s="575"/>
      <c r="AH71" s="575"/>
      <c r="AI71" s="575"/>
      <c r="AJ71" s="575"/>
      <c r="AK71" s="575"/>
      <c r="AL71" s="575"/>
      <c r="AM71" s="575"/>
      <c r="AN71" s="575"/>
      <c r="AO71" s="575"/>
      <c r="AP71" s="575"/>
      <c r="AQ71" s="575"/>
      <c r="AR71" s="575"/>
      <c r="AS71" s="575"/>
      <c r="AT71" s="575"/>
      <c r="AU71" s="575"/>
      <c r="AV71" s="575"/>
      <c r="AW71" s="575"/>
      <c r="AX71" s="575"/>
      <c r="AY71" s="575"/>
      <c r="AZ71" s="575"/>
      <c r="BA71" s="575"/>
      <c r="BB71" s="575"/>
      <c r="BC71" s="575"/>
      <c r="BD71" s="575"/>
      <c r="BE71" s="575"/>
      <c r="BF71" s="575"/>
      <c r="BG71" s="575"/>
      <c r="BH71" s="575"/>
      <c r="BI71" s="575"/>
      <c r="BJ71" s="575"/>
      <c r="BK71" s="575"/>
      <c r="BL71" s="575"/>
      <c r="BM71" s="575"/>
    </row>
    <row r="72" spans="1:65" s="573" customFormat="1" ht="3.75" customHeight="1" x14ac:dyDescent="0.3">
      <c r="A72" s="575"/>
      <c r="B72" s="575"/>
      <c r="C72" s="575"/>
      <c r="D72" s="575"/>
      <c r="E72" s="575"/>
      <c r="F72" s="575"/>
      <c r="G72" s="575"/>
      <c r="H72" s="575"/>
      <c r="I72" s="575"/>
      <c r="J72" s="575"/>
      <c r="K72" s="575"/>
      <c r="L72" s="575"/>
      <c r="M72" s="575"/>
      <c r="N72" s="575"/>
      <c r="O72" s="575"/>
      <c r="P72" s="575"/>
      <c r="Q72" s="575"/>
      <c r="R72" s="575"/>
      <c r="S72" s="575"/>
      <c r="T72" s="575"/>
      <c r="U72" s="575"/>
      <c r="V72" s="575"/>
      <c r="W72" s="575"/>
      <c r="X72" s="575"/>
      <c r="Y72" s="575"/>
      <c r="Z72" s="575"/>
      <c r="AA72" s="575"/>
      <c r="AB72" s="575"/>
      <c r="AC72" s="575"/>
      <c r="AD72" s="575"/>
      <c r="AE72" s="575"/>
      <c r="AF72" s="575"/>
      <c r="AG72" s="575"/>
      <c r="AH72" s="575"/>
      <c r="AI72" s="575"/>
      <c r="AJ72" s="575"/>
      <c r="AK72" s="575"/>
      <c r="AL72" s="575"/>
      <c r="AM72" s="575"/>
      <c r="AN72" s="575"/>
      <c r="AO72" s="575"/>
      <c r="AP72" s="575"/>
      <c r="AQ72" s="575"/>
      <c r="AR72" s="575"/>
      <c r="AS72" s="575"/>
      <c r="AT72" s="575"/>
      <c r="AU72" s="575"/>
      <c r="AV72" s="575"/>
      <c r="AW72" s="575"/>
      <c r="AX72" s="575"/>
      <c r="AY72" s="575"/>
      <c r="AZ72" s="575"/>
      <c r="BA72" s="575"/>
      <c r="BB72" s="575"/>
      <c r="BC72" s="575"/>
      <c r="BD72" s="575"/>
      <c r="BE72" s="575"/>
      <c r="BF72" s="575"/>
      <c r="BG72" s="575"/>
      <c r="BH72" s="575"/>
      <c r="BI72" s="575"/>
      <c r="BJ72" s="575"/>
      <c r="BK72" s="575"/>
      <c r="BL72" s="575"/>
      <c r="BM72" s="575"/>
    </row>
    <row r="73" spans="1:65" s="573" customFormat="1" ht="3.75" customHeight="1" x14ac:dyDescent="0.3">
      <c r="A73" s="575"/>
      <c r="B73" s="575"/>
      <c r="C73" s="575"/>
      <c r="D73" s="575"/>
      <c r="E73" s="575"/>
      <c r="F73" s="575"/>
      <c r="G73" s="575"/>
      <c r="H73" s="575"/>
      <c r="I73" s="575"/>
      <c r="J73" s="575"/>
      <c r="K73" s="575"/>
      <c r="L73" s="575"/>
      <c r="M73" s="575"/>
      <c r="N73" s="575"/>
      <c r="O73" s="575"/>
      <c r="P73" s="575"/>
      <c r="Q73" s="575"/>
      <c r="R73" s="575"/>
      <c r="S73" s="575"/>
      <c r="T73" s="575"/>
      <c r="U73" s="575"/>
      <c r="V73" s="575"/>
      <c r="W73" s="575"/>
      <c r="X73" s="575"/>
      <c r="Y73" s="575"/>
      <c r="Z73" s="575"/>
      <c r="AA73" s="575"/>
      <c r="AB73" s="575"/>
      <c r="AC73" s="575"/>
      <c r="AD73" s="575"/>
      <c r="AE73" s="575"/>
      <c r="AF73" s="575"/>
      <c r="AG73" s="575"/>
      <c r="AH73" s="575"/>
      <c r="AI73" s="575"/>
      <c r="AJ73" s="575"/>
      <c r="AK73" s="575"/>
      <c r="AL73" s="575"/>
      <c r="AM73" s="575"/>
      <c r="AN73" s="575"/>
      <c r="AO73" s="575"/>
      <c r="AP73" s="575"/>
      <c r="AQ73" s="575"/>
      <c r="AR73" s="575"/>
      <c r="AS73" s="575"/>
      <c r="AT73" s="575"/>
      <c r="AU73" s="575"/>
      <c r="AV73" s="575"/>
      <c r="AW73" s="575"/>
      <c r="AX73" s="575"/>
      <c r="AY73" s="575"/>
      <c r="AZ73" s="575"/>
      <c r="BA73" s="575"/>
      <c r="BB73" s="575"/>
      <c r="BC73" s="575"/>
      <c r="BD73" s="575"/>
      <c r="BE73" s="575"/>
      <c r="BF73" s="575"/>
      <c r="BG73" s="575"/>
      <c r="BH73" s="575"/>
      <c r="BI73" s="575"/>
      <c r="BJ73" s="575"/>
      <c r="BK73" s="575"/>
      <c r="BL73" s="575"/>
      <c r="BM73" s="575"/>
    </row>
    <row r="74" spans="1:65" s="573" customFormat="1" ht="3.75" customHeight="1" x14ac:dyDescent="0.3">
      <c r="A74" s="575"/>
      <c r="B74" s="575"/>
      <c r="C74" s="575"/>
      <c r="D74" s="575"/>
      <c r="E74" s="575"/>
      <c r="F74" s="575"/>
      <c r="G74" s="575"/>
      <c r="H74" s="575"/>
      <c r="I74" s="575"/>
      <c r="J74" s="575"/>
      <c r="K74" s="575"/>
      <c r="L74" s="575"/>
      <c r="M74" s="575"/>
      <c r="N74" s="575"/>
      <c r="O74" s="575"/>
      <c r="P74" s="575"/>
      <c r="Q74" s="575"/>
      <c r="R74" s="575"/>
      <c r="S74" s="575"/>
      <c r="T74" s="575"/>
      <c r="U74" s="575"/>
      <c r="V74" s="575"/>
      <c r="W74" s="575"/>
      <c r="X74" s="575"/>
      <c r="Y74" s="575"/>
      <c r="Z74" s="575"/>
      <c r="AA74" s="575"/>
      <c r="AB74" s="575"/>
      <c r="AC74" s="575"/>
      <c r="AD74" s="575"/>
      <c r="AE74" s="575"/>
      <c r="AF74" s="575"/>
      <c r="AG74" s="575"/>
      <c r="AH74" s="575"/>
      <c r="AI74" s="575"/>
      <c r="AJ74" s="575"/>
      <c r="AK74" s="575"/>
      <c r="AL74" s="575"/>
      <c r="AM74" s="575"/>
      <c r="AN74" s="575"/>
      <c r="AO74" s="575"/>
      <c r="AP74" s="575"/>
      <c r="AQ74" s="575"/>
      <c r="AR74" s="575"/>
      <c r="AS74" s="575"/>
      <c r="AT74" s="575"/>
      <c r="AU74" s="575"/>
      <c r="AV74" s="575"/>
      <c r="AW74" s="575"/>
      <c r="AX74" s="575"/>
      <c r="AY74" s="575"/>
      <c r="AZ74" s="575"/>
      <c r="BA74" s="575"/>
      <c r="BB74" s="575"/>
      <c r="BC74" s="575"/>
      <c r="BD74" s="575"/>
      <c r="BE74" s="575"/>
      <c r="BF74" s="575"/>
      <c r="BG74" s="575"/>
      <c r="BH74" s="575"/>
      <c r="BI74" s="575"/>
      <c r="BJ74" s="575"/>
      <c r="BK74" s="575"/>
      <c r="BL74" s="575"/>
      <c r="BM74" s="575"/>
    </row>
    <row r="75" spans="1:65" s="573" customFormat="1" ht="3.75" customHeight="1" x14ac:dyDescent="0.3">
      <c r="A75" s="575"/>
      <c r="B75" s="575"/>
      <c r="C75" s="575"/>
      <c r="D75" s="575"/>
      <c r="E75" s="575"/>
      <c r="F75" s="575"/>
      <c r="G75" s="575"/>
      <c r="H75" s="575"/>
      <c r="I75" s="575"/>
      <c r="J75" s="575"/>
      <c r="K75" s="575"/>
      <c r="L75" s="575"/>
      <c r="M75" s="575"/>
      <c r="N75" s="575"/>
      <c r="O75" s="575"/>
      <c r="P75" s="575"/>
      <c r="Q75" s="575"/>
      <c r="R75" s="575"/>
      <c r="S75" s="575"/>
      <c r="T75" s="575"/>
      <c r="U75" s="575"/>
      <c r="V75" s="575"/>
      <c r="W75" s="575"/>
      <c r="X75" s="575"/>
      <c r="Y75" s="575"/>
      <c r="Z75" s="575"/>
      <c r="AA75" s="575"/>
      <c r="AB75" s="575"/>
      <c r="AC75" s="575"/>
      <c r="AD75" s="575"/>
      <c r="AE75" s="575"/>
      <c r="AF75" s="575"/>
      <c r="AG75" s="575"/>
      <c r="AH75" s="575"/>
      <c r="AI75" s="575"/>
      <c r="AJ75" s="575"/>
      <c r="AK75" s="575"/>
      <c r="AL75" s="575"/>
      <c r="AM75" s="575"/>
      <c r="AN75" s="575"/>
      <c r="AO75" s="575"/>
      <c r="AP75" s="575"/>
      <c r="AQ75" s="575"/>
      <c r="AR75" s="575"/>
      <c r="AS75" s="575"/>
      <c r="AT75" s="575"/>
      <c r="AU75" s="575"/>
      <c r="AV75" s="575"/>
      <c r="AW75" s="575"/>
      <c r="AX75" s="575"/>
      <c r="AY75" s="575"/>
      <c r="AZ75" s="575"/>
      <c r="BA75" s="575"/>
      <c r="BB75" s="575"/>
      <c r="BC75" s="575"/>
      <c r="BD75" s="575"/>
      <c r="BE75" s="575"/>
      <c r="BF75" s="575"/>
      <c r="BG75" s="575"/>
      <c r="BH75" s="575"/>
      <c r="BI75" s="575"/>
      <c r="BJ75" s="575"/>
      <c r="BK75" s="575"/>
      <c r="BL75" s="575"/>
      <c r="BM75" s="575"/>
    </row>
    <row r="76" spans="1:65" s="573" customFormat="1" ht="3.75" customHeight="1" x14ac:dyDescent="0.3">
      <c r="A76" s="575"/>
      <c r="B76" s="575"/>
      <c r="C76" s="575"/>
      <c r="D76" s="575"/>
      <c r="E76" s="575"/>
      <c r="F76" s="575"/>
      <c r="G76" s="575"/>
      <c r="H76" s="575"/>
      <c r="I76" s="575"/>
      <c r="J76" s="575"/>
      <c r="K76" s="575"/>
      <c r="L76" s="575"/>
      <c r="M76" s="575"/>
      <c r="N76" s="575"/>
      <c r="O76" s="575"/>
      <c r="P76" s="575"/>
      <c r="Q76" s="575"/>
      <c r="R76" s="575"/>
      <c r="S76" s="575"/>
      <c r="T76" s="575"/>
      <c r="U76" s="575"/>
      <c r="V76" s="575"/>
      <c r="W76" s="575"/>
      <c r="X76" s="575"/>
      <c r="Y76" s="575"/>
      <c r="Z76" s="575"/>
      <c r="AA76" s="575"/>
      <c r="AB76" s="575"/>
      <c r="AC76" s="575"/>
      <c r="AD76" s="575"/>
      <c r="AE76" s="575"/>
      <c r="AF76" s="575"/>
      <c r="AG76" s="575"/>
      <c r="AH76" s="575"/>
      <c r="AI76" s="575"/>
      <c r="AJ76" s="575"/>
      <c r="AK76" s="575"/>
      <c r="AL76" s="575"/>
      <c r="AM76" s="575"/>
      <c r="AN76" s="575"/>
      <c r="AO76" s="575"/>
      <c r="AP76" s="575"/>
      <c r="AQ76" s="575"/>
      <c r="AR76" s="575"/>
      <c r="AS76" s="575"/>
      <c r="AT76" s="575"/>
      <c r="AU76" s="575"/>
      <c r="AV76" s="575"/>
      <c r="AW76" s="575"/>
      <c r="AX76" s="575"/>
      <c r="AY76" s="575"/>
      <c r="AZ76" s="575"/>
      <c r="BA76" s="575"/>
      <c r="BB76" s="575"/>
      <c r="BC76" s="575"/>
      <c r="BD76" s="575"/>
      <c r="BE76" s="575"/>
      <c r="BF76" s="575"/>
      <c r="BG76" s="575"/>
      <c r="BH76" s="575"/>
      <c r="BI76" s="575"/>
      <c r="BJ76" s="575"/>
      <c r="BK76" s="575"/>
      <c r="BL76" s="575"/>
      <c r="BM76" s="575"/>
    </row>
    <row r="77" spans="1:65" s="573" customFormat="1" ht="3.75" customHeight="1" x14ac:dyDescent="0.3">
      <c r="A77" s="575"/>
      <c r="B77" s="575"/>
      <c r="C77" s="575"/>
      <c r="D77" s="575"/>
      <c r="E77" s="575"/>
      <c r="F77" s="575"/>
      <c r="G77" s="575"/>
      <c r="H77" s="575"/>
      <c r="I77" s="575"/>
      <c r="J77" s="575"/>
      <c r="K77" s="575"/>
      <c r="L77" s="575"/>
      <c r="M77" s="575"/>
      <c r="N77" s="575"/>
      <c r="O77" s="575"/>
      <c r="P77" s="575"/>
      <c r="Q77" s="575"/>
      <c r="R77" s="575"/>
      <c r="S77" s="575"/>
      <c r="T77" s="575"/>
      <c r="U77" s="575"/>
      <c r="V77" s="575"/>
      <c r="W77" s="575"/>
      <c r="X77" s="575"/>
      <c r="Y77" s="575"/>
      <c r="Z77" s="575"/>
      <c r="AA77" s="575"/>
      <c r="AB77" s="575"/>
      <c r="AC77" s="575"/>
      <c r="AD77" s="575"/>
      <c r="AE77" s="575"/>
      <c r="AF77" s="575"/>
      <c r="AG77" s="575"/>
      <c r="AH77" s="575"/>
      <c r="AI77" s="575"/>
      <c r="AJ77" s="575"/>
      <c r="AK77" s="575"/>
      <c r="AL77" s="575"/>
      <c r="AM77" s="575"/>
      <c r="AN77" s="575"/>
      <c r="AO77" s="575"/>
      <c r="AP77" s="575"/>
      <c r="AQ77" s="575"/>
      <c r="AR77" s="575"/>
      <c r="AS77" s="575"/>
      <c r="AT77" s="575"/>
      <c r="AU77" s="575"/>
      <c r="AV77" s="575"/>
      <c r="AW77" s="575"/>
      <c r="AX77" s="575"/>
      <c r="AY77" s="575"/>
      <c r="AZ77" s="575"/>
      <c r="BA77" s="575"/>
      <c r="BB77" s="575"/>
      <c r="BC77" s="575"/>
      <c r="BD77" s="575"/>
      <c r="BE77" s="575"/>
      <c r="BF77" s="575"/>
      <c r="BG77" s="575"/>
      <c r="BH77" s="575"/>
      <c r="BI77" s="575"/>
      <c r="BJ77" s="575"/>
      <c r="BK77" s="575"/>
      <c r="BL77" s="575"/>
      <c r="BM77" s="575"/>
    </row>
    <row r="78" spans="1:65" s="573" customFormat="1" ht="3.75" customHeight="1" x14ac:dyDescent="0.3">
      <c r="A78" s="575"/>
      <c r="B78" s="575"/>
      <c r="C78" s="575"/>
      <c r="D78" s="575"/>
      <c r="E78" s="575"/>
      <c r="F78" s="575"/>
      <c r="G78" s="575"/>
      <c r="H78" s="575"/>
      <c r="I78" s="575"/>
      <c r="J78" s="575"/>
      <c r="K78" s="575"/>
      <c r="L78" s="575"/>
      <c r="M78" s="575"/>
      <c r="N78" s="575"/>
      <c r="O78" s="575"/>
      <c r="P78" s="575"/>
      <c r="Q78" s="575"/>
      <c r="R78" s="575"/>
      <c r="S78" s="575"/>
      <c r="T78" s="575"/>
      <c r="U78" s="575"/>
      <c r="V78" s="575"/>
      <c r="W78" s="575"/>
      <c r="X78" s="575"/>
      <c r="Y78" s="575"/>
      <c r="Z78" s="575"/>
      <c r="AA78" s="575"/>
      <c r="AB78" s="575"/>
      <c r="AC78" s="575"/>
      <c r="AD78" s="575"/>
      <c r="AE78" s="575"/>
      <c r="AF78" s="575"/>
      <c r="AG78" s="575"/>
      <c r="AH78" s="575"/>
      <c r="AI78" s="575"/>
      <c r="AJ78" s="575"/>
      <c r="AK78" s="575"/>
      <c r="AL78" s="575"/>
      <c r="AM78" s="575"/>
      <c r="AN78" s="575"/>
      <c r="AO78" s="575"/>
      <c r="AP78" s="575"/>
      <c r="AQ78" s="575"/>
      <c r="AR78" s="575"/>
      <c r="AS78" s="575"/>
      <c r="AT78" s="575"/>
      <c r="AU78" s="575"/>
      <c r="AV78" s="575"/>
      <c r="AW78" s="575"/>
      <c r="AX78" s="575"/>
      <c r="AY78" s="575"/>
      <c r="AZ78" s="583" t="str">
        <f>BTP_CORRIGIDO!Y9</f>
        <v xml:space="preserve">	8916733 / 2023</v>
      </c>
      <c r="BA78" s="577"/>
      <c r="BB78" s="577"/>
      <c r="BC78" s="577"/>
      <c r="BD78" s="577"/>
      <c r="BE78" s="577"/>
      <c r="BF78" s="577"/>
      <c r="BG78" s="577"/>
      <c r="BH78" s="577"/>
      <c r="BI78" s="577"/>
      <c r="BJ78" s="577"/>
      <c r="BK78" s="577"/>
      <c r="BL78" s="575"/>
      <c r="BM78" s="575"/>
    </row>
    <row r="79" spans="1:65" s="573" customFormat="1" ht="3.75" customHeight="1" x14ac:dyDescent="0.3">
      <c r="A79" s="575"/>
      <c r="B79" s="575"/>
      <c r="C79" s="575"/>
      <c r="D79" s="575"/>
      <c r="E79" s="575"/>
      <c r="F79" s="575"/>
      <c r="G79" s="575"/>
      <c r="H79" s="575"/>
      <c r="I79" s="575"/>
      <c r="J79" s="575"/>
      <c r="K79" s="575"/>
      <c r="L79" s="575"/>
      <c r="M79" s="575"/>
      <c r="N79" s="575"/>
      <c r="O79" s="575"/>
      <c r="P79" s="575"/>
      <c r="Q79" s="575"/>
      <c r="R79" s="575"/>
      <c r="S79" s="575"/>
      <c r="T79" s="575"/>
      <c r="U79" s="575"/>
      <c r="V79" s="575"/>
      <c r="W79" s="575"/>
      <c r="X79" s="575"/>
      <c r="Y79" s="575"/>
      <c r="Z79" s="575"/>
      <c r="AA79" s="575"/>
      <c r="AB79" s="575"/>
      <c r="AC79" s="575"/>
      <c r="AD79" s="575"/>
      <c r="AE79" s="575"/>
      <c r="AF79" s="575"/>
      <c r="AG79" s="575"/>
      <c r="AH79" s="575"/>
      <c r="AI79" s="575"/>
      <c r="AJ79" s="575"/>
      <c r="AK79" s="575"/>
      <c r="AL79" s="575"/>
      <c r="AM79" s="575"/>
      <c r="AN79" s="575"/>
      <c r="AO79" s="575"/>
      <c r="AP79" s="575"/>
      <c r="AQ79" s="575"/>
      <c r="AR79" s="575"/>
      <c r="AS79" s="575"/>
      <c r="AT79" s="575"/>
      <c r="AU79" s="575"/>
      <c r="AV79" s="575"/>
      <c r="AW79" s="575"/>
      <c r="AX79" s="575"/>
      <c r="AY79" s="575"/>
      <c r="AZ79" s="577"/>
      <c r="BA79" s="577"/>
      <c r="BB79" s="577"/>
      <c r="BC79" s="577"/>
      <c r="BD79" s="577"/>
      <c r="BE79" s="577"/>
      <c r="BF79" s="577"/>
      <c r="BG79" s="577"/>
      <c r="BH79" s="577"/>
      <c r="BI79" s="577"/>
      <c r="BJ79" s="577"/>
      <c r="BK79" s="577"/>
      <c r="BL79" s="575"/>
      <c r="BM79" s="575"/>
    </row>
    <row r="80" spans="1:65" s="573" customFormat="1" ht="3.75" customHeight="1" x14ac:dyDescent="0.3">
      <c r="A80" s="575"/>
      <c r="B80" s="575"/>
      <c r="C80" s="575"/>
      <c r="D80" s="575"/>
      <c r="E80" s="575"/>
      <c r="F80" s="575"/>
      <c r="G80" s="575"/>
      <c r="H80" s="575"/>
      <c r="I80" s="575"/>
      <c r="J80" s="575"/>
      <c r="K80" s="575"/>
      <c r="L80" s="575"/>
      <c r="M80" s="575"/>
      <c r="N80" s="575"/>
      <c r="O80" s="575"/>
      <c r="P80" s="575"/>
      <c r="Q80" s="575"/>
      <c r="R80" s="575"/>
      <c r="S80" s="575"/>
      <c r="T80" s="575"/>
      <c r="U80" s="575"/>
      <c r="V80" s="575"/>
      <c r="W80" s="575"/>
      <c r="X80" s="575"/>
      <c r="Y80" s="575"/>
      <c r="Z80" s="575"/>
      <c r="AA80" s="575"/>
      <c r="AB80" s="575"/>
      <c r="AC80" s="575"/>
      <c r="AD80" s="575"/>
      <c r="AE80" s="575"/>
      <c r="AF80" s="575"/>
      <c r="AG80" s="575"/>
      <c r="AH80" s="575"/>
      <c r="AI80" s="575"/>
      <c r="AJ80" s="575"/>
      <c r="AK80" s="575"/>
      <c r="AL80" s="575"/>
      <c r="AM80" s="575"/>
      <c r="AN80" s="575"/>
      <c r="AO80" s="575"/>
      <c r="AP80" s="575"/>
      <c r="AQ80" s="575"/>
      <c r="AR80" s="575"/>
      <c r="AS80" s="575"/>
      <c r="AT80" s="575"/>
      <c r="AU80" s="575"/>
      <c r="AV80" s="575"/>
      <c r="AW80" s="575"/>
      <c r="AX80" s="575"/>
      <c r="AY80" s="575"/>
      <c r="AZ80" s="577"/>
      <c r="BA80" s="577"/>
      <c r="BB80" s="577"/>
      <c r="BC80" s="577"/>
      <c r="BD80" s="577"/>
      <c r="BE80" s="577"/>
      <c r="BF80" s="577"/>
      <c r="BG80" s="577"/>
      <c r="BH80" s="577"/>
      <c r="BI80" s="577"/>
      <c r="BJ80" s="577"/>
      <c r="BK80" s="577"/>
      <c r="BL80" s="575"/>
      <c r="BM80" s="575"/>
    </row>
    <row r="81" spans="1:65" s="573" customFormat="1" ht="3.75" customHeight="1" x14ac:dyDescent="0.3">
      <c r="A81" s="575"/>
      <c r="B81" s="575"/>
      <c r="C81" s="575"/>
      <c r="D81" s="584">
        <f>BTP_CORRIGIDO!U53</f>
        <v>33.1</v>
      </c>
      <c r="E81" s="585"/>
      <c r="F81" s="585"/>
      <c r="G81" s="585"/>
      <c r="H81" s="585"/>
      <c r="I81" s="585"/>
      <c r="J81" s="575"/>
      <c r="K81" s="575"/>
      <c r="L81" s="592">
        <f>BTP_CORRIGIDO!Y53/1000</f>
        <v>1.25766</v>
      </c>
      <c r="M81" s="582"/>
      <c r="N81" s="582"/>
      <c r="O81" s="582"/>
      <c r="P81" s="582"/>
      <c r="Q81" s="582"/>
      <c r="R81" s="575"/>
      <c r="S81" s="575"/>
      <c r="T81" s="575"/>
      <c r="U81" s="584">
        <f>BTP_CORRIGIDO!X53</f>
        <v>153.04000000000002</v>
      </c>
      <c r="V81" s="585"/>
      <c r="W81" s="585"/>
      <c r="X81" s="585"/>
      <c r="Y81" s="585"/>
      <c r="Z81" s="585"/>
      <c r="AA81" s="575"/>
      <c r="AB81" s="584">
        <f>BTP_CORRIGIDO!S59</f>
        <v>42.33</v>
      </c>
      <c r="AC81" s="585"/>
      <c r="AD81" s="585"/>
      <c r="AE81" s="575"/>
      <c r="AF81" s="575"/>
      <c r="AG81" s="583">
        <f>BTP_CORRIGIDO!AH8</f>
        <v>0.97899999999999998</v>
      </c>
      <c r="AH81" s="577"/>
      <c r="AI81" s="577"/>
      <c r="AJ81" s="577"/>
      <c r="AK81" s="577"/>
      <c r="AL81" s="575"/>
      <c r="AM81" s="575"/>
      <c r="AN81" s="575"/>
      <c r="AO81" s="575"/>
      <c r="AP81" s="587">
        <f>BTP_CORRIGIDO!AH9</f>
        <v>3.89</v>
      </c>
      <c r="AQ81" s="577"/>
      <c r="AR81" s="577"/>
      <c r="AS81" s="577"/>
      <c r="AT81" s="575"/>
      <c r="AU81" s="575"/>
      <c r="AV81" s="575"/>
      <c r="AW81" s="575"/>
      <c r="AX81" s="575"/>
      <c r="AY81" s="575"/>
      <c r="AZ81" s="577"/>
      <c r="BA81" s="577"/>
      <c r="BB81" s="577"/>
      <c r="BC81" s="577"/>
      <c r="BD81" s="577"/>
      <c r="BE81" s="577"/>
      <c r="BF81" s="577"/>
      <c r="BG81" s="577"/>
      <c r="BH81" s="577"/>
      <c r="BI81" s="577"/>
      <c r="BJ81" s="577"/>
      <c r="BK81" s="577"/>
      <c r="BL81" s="575"/>
      <c r="BM81" s="575"/>
    </row>
    <row r="82" spans="1:65" s="573" customFormat="1" ht="3.75" customHeight="1" x14ac:dyDescent="0.3">
      <c r="A82" s="575"/>
      <c r="B82" s="575"/>
      <c r="C82" s="575"/>
      <c r="D82" s="585"/>
      <c r="E82" s="585"/>
      <c r="F82" s="585"/>
      <c r="G82" s="585"/>
      <c r="H82" s="585"/>
      <c r="I82" s="585"/>
      <c r="J82" s="575"/>
      <c r="K82" s="575"/>
      <c r="L82" s="582"/>
      <c r="M82" s="582"/>
      <c r="N82" s="582"/>
      <c r="O82" s="582"/>
      <c r="P82" s="582"/>
      <c r="Q82" s="582"/>
      <c r="R82" s="575"/>
      <c r="S82" s="575"/>
      <c r="T82" s="575"/>
      <c r="U82" s="585"/>
      <c r="V82" s="585"/>
      <c r="W82" s="585"/>
      <c r="X82" s="585"/>
      <c r="Y82" s="585"/>
      <c r="Z82" s="585"/>
      <c r="AA82" s="575"/>
      <c r="AB82" s="585"/>
      <c r="AC82" s="585"/>
      <c r="AD82" s="585"/>
      <c r="AE82" s="575"/>
      <c r="AF82" s="575"/>
      <c r="AG82" s="577"/>
      <c r="AH82" s="577"/>
      <c r="AI82" s="577"/>
      <c r="AJ82" s="577"/>
      <c r="AK82" s="577"/>
      <c r="AL82" s="575"/>
      <c r="AM82" s="575"/>
      <c r="AN82" s="575"/>
      <c r="AO82" s="575"/>
      <c r="AP82" s="577"/>
      <c r="AQ82" s="577"/>
      <c r="AR82" s="577"/>
      <c r="AS82" s="577"/>
      <c r="AT82" s="575"/>
      <c r="AU82" s="575"/>
      <c r="AV82" s="575"/>
      <c r="AW82" s="575"/>
      <c r="AX82" s="575"/>
      <c r="AY82" s="575"/>
      <c r="AZ82" s="575"/>
      <c r="BA82" s="575"/>
      <c r="BB82" s="575"/>
      <c r="BC82" s="575"/>
      <c r="BD82" s="575"/>
      <c r="BE82" s="575"/>
      <c r="BF82" s="575"/>
      <c r="BG82" s="575"/>
      <c r="BH82" s="575"/>
      <c r="BI82" s="575"/>
      <c r="BJ82" s="575"/>
      <c r="BK82" s="575"/>
      <c r="BL82" s="575"/>
      <c r="BM82" s="575"/>
    </row>
    <row r="83" spans="1:65" s="573" customFormat="1" ht="3.75" customHeight="1" x14ac:dyDescent="0.3">
      <c r="A83" s="575"/>
      <c r="B83" s="575"/>
      <c r="C83" s="575"/>
      <c r="D83" s="585"/>
      <c r="E83" s="585"/>
      <c r="F83" s="585"/>
      <c r="G83" s="585"/>
      <c r="H83" s="585"/>
      <c r="I83" s="585"/>
      <c r="J83" s="575"/>
      <c r="K83" s="575"/>
      <c r="L83" s="582"/>
      <c r="M83" s="582"/>
      <c r="N83" s="582"/>
      <c r="O83" s="582"/>
      <c r="P83" s="582"/>
      <c r="Q83" s="582"/>
      <c r="R83" s="575"/>
      <c r="S83" s="575"/>
      <c r="T83" s="575"/>
      <c r="U83" s="585"/>
      <c r="V83" s="585"/>
      <c r="W83" s="585"/>
      <c r="X83" s="585"/>
      <c r="Y83" s="585"/>
      <c r="Z83" s="585"/>
      <c r="AA83" s="575"/>
      <c r="AB83" s="585"/>
      <c r="AC83" s="585"/>
      <c r="AD83" s="585"/>
      <c r="AE83" s="575"/>
      <c r="AF83" s="575"/>
      <c r="AG83" s="577"/>
      <c r="AH83" s="577"/>
      <c r="AI83" s="577"/>
      <c r="AJ83" s="577"/>
      <c r="AK83" s="577"/>
      <c r="AL83" s="575"/>
      <c r="AM83" s="575"/>
      <c r="AN83" s="575"/>
      <c r="AO83" s="575"/>
      <c r="AP83" s="577"/>
      <c r="AQ83" s="577"/>
      <c r="AR83" s="577"/>
      <c r="AS83" s="577"/>
      <c r="AT83" s="575"/>
      <c r="AU83" s="575"/>
      <c r="AV83" s="575"/>
      <c r="AW83" s="575"/>
      <c r="AX83" s="575"/>
      <c r="AY83" s="575"/>
      <c r="AZ83" s="575"/>
      <c r="BA83" s="575"/>
      <c r="BB83" s="575"/>
      <c r="BC83" s="575"/>
      <c r="BD83" s="575"/>
      <c r="BE83" s="575"/>
      <c r="BF83" s="575"/>
      <c r="BG83" s="575"/>
      <c r="BH83" s="575"/>
      <c r="BI83" s="575"/>
      <c r="BJ83" s="575"/>
      <c r="BK83" s="575"/>
      <c r="BL83" s="575"/>
      <c r="BM83" s="575"/>
    </row>
    <row r="84" spans="1:65" s="573" customFormat="1" ht="3.75" customHeight="1" x14ac:dyDescent="0.3">
      <c r="A84" s="575"/>
      <c r="B84" s="575"/>
      <c r="C84" s="575"/>
      <c r="D84" s="585"/>
      <c r="E84" s="585"/>
      <c r="F84" s="585"/>
      <c r="G84" s="585"/>
      <c r="H84" s="585"/>
      <c r="I84" s="585"/>
      <c r="J84" s="575"/>
      <c r="K84" s="575"/>
      <c r="L84" s="582"/>
      <c r="M84" s="582"/>
      <c r="N84" s="582"/>
      <c r="O84" s="582"/>
      <c r="P84" s="582"/>
      <c r="Q84" s="582"/>
      <c r="R84" s="575"/>
      <c r="S84" s="575"/>
      <c r="T84" s="575"/>
      <c r="U84" s="585"/>
      <c r="V84" s="585"/>
      <c r="W84" s="585"/>
      <c r="X84" s="585"/>
      <c r="Y84" s="585"/>
      <c r="Z84" s="585"/>
      <c r="AA84" s="575"/>
      <c r="AB84" s="585"/>
      <c r="AC84" s="585"/>
      <c r="AD84" s="585"/>
      <c r="AE84" s="575"/>
      <c r="AF84" s="575"/>
      <c r="AG84" s="577"/>
      <c r="AH84" s="577"/>
      <c r="AI84" s="577"/>
      <c r="AJ84" s="577"/>
      <c r="AK84" s="577"/>
      <c r="AL84" s="575"/>
      <c r="AM84" s="575"/>
      <c r="AN84" s="575"/>
      <c r="AO84" s="575"/>
      <c r="AP84" s="577"/>
      <c r="AQ84" s="577"/>
      <c r="AR84" s="577"/>
      <c r="AS84" s="577"/>
      <c r="AT84" s="575"/>
      <c r="AU84" s="575"/>
      <c r="AV84" s="575"/>
      <c r="AW84" s="575"/>
      <c r="AX84" s="575"/>
      <c r="AY84" s="575"/>
      <c r="AZ84" s="575"/>
      <c r="BA84" s="575"/>
      <c r="BB84" s="575"/>
      <c r="BC84" s="575"/>
      <c r="BD84" s="575"/>
      <c r="BE84" s="575"/>
      <c r="BF84" s="575"/>
      <c r="BG84" s="575"/>
      <c r="BH84" s="575"/>
      <c r="BI84" s="575"/>
      <c r="BJ84" s="575"/>
      <c r="BK84" s="575"/>
      <c r="BL84" s="575"/>
      <c r="BM84" s="575"/>
    </row>
    <row r="85" spans="1:65" s="573" customFormat="1" ht="3.75" customHeight="1" x14ac:dyDescent="0.3">
      <c r="A85" s="575"/>
      <c r="B85" s="575"/>
      <c r="C85" s="575"/>
      <c r="D85" s="575"/>
      <c r="E85" s="575"/>
      <c r="F85" s="575"/>
      <c r="G85" s="575"/>
      <c r="H85" s="575"/>
      <c r="I85" s="575"/>
      <c r="J85" s="575"/>
      <c r="K85" s="575"/>
      <c r="L85" s="575"/>
      <c r="M85" s="575"/>
      <c r="N85" s="575"/>
      <c r="O85" s="575"/>
      <c r="P85" s="575"/>
      <c r="Q85" s="575"/>
      <c r="R85" s="575"/>
      <c r="S85" s="575"/>
      <c r="T85" s="575"/>
      <c r="U85" s="575"/>
      <c r="V85" s="575"/>
      <c r="W85" s="575"/>
      <c r="X85" s="575"/>
      <c r="Y85" s="575"/>
      <c r="Z85" s="575"/>
      <c r="AA85" s="575"/>
      <c r="AB85" s="575"/>
      <c r="AC85" s="575"/>
      <c r="AD85" s="575"/>
      <c r="AE85" s="575"/>
      <c r="AF85" s="575"/>
      <c r="AG85" s="575"/>
      <c r="AH85" s="575"/>
      <c r="AI85" s="575"/>
      <c r="AJ85" s="575"/>
      <c r="AK85" s="575"/>
      <c r="AL85" s="575"/>
      <c r="AM85" s="575"/>
      <c r="AN85" s="575"/>
      <c r="AO85" s="575"/>
      <c r="AP85" s="575"/>
      <c r="AQ85" s="575"/>
      <c r="AR85" s="575"/>
      <c r="AS85" s="575"/>
      <c r="AT85" s="575"/>
      <c r="AU85" s="575"/>
      <c r="AV85" s="575"/>
      <c r="AW85" s="575"/>
      <c r="AX85" s="575"/>
      <c r="AY85" s="575"/>
      <c r="AZ85" s="583" t="str">
        <f>AZ78</f>
        <v xml:space="preserve">	8916733 / 2023</v>
      </c>
      <c r="BA85" s="577"/>
      <c r="BB85" s="577"/>
      <c r="BC85" s="577"/>
      <c r="BD85" s="577"/>
      <c r="BE85" s="577"/>
      <c r="BF85" s="577"/>
      <c r="BG85" s="577"/>
      <c r="BH85" s="577"/>
      <c r="BI85" s="577"/>
      <c r="BJ85" s="577"/>
      <c r="BK85" s="577"/>
      <c r="BL85" s="575"/>
      <c r="BM85" s="575"/>
    </row>
    <row r="86" spans="1:65" s="573" customFormat="1" ht="3.75" customHeight="1" x14ac:dyDescent="0.3">
      <c r="A86" s="575"/>
      <c r="B86" s="575"/>
      <c r="C86" s="575"/>
      <c r="D86" s="575"/>
      <c r="E86" s="575"/>
      <c r="F86" s="575"/>
      <c r="G86" s="575"/>
      <c r="H86" s="575"/>
      <c r="I86" s="575"/>
      <c r="J86" s="575"/>
      <c r="K86" s="575"/>
      <c r="L86" s="575"/>
      <c r="M86" s="575"/>
      <c r="N86" s="575"/>
      <c r="O86" s="575"/>
      <c r="P86" s="575"/>
      <c r="Q86" s="575"/>
      <c r="R86" s="575"/>
      <c r="S86" s="575"/>
      <c r="T86" s="575"/>
      <c r="U86" s="575"/>
      <c r="V86" s="575"/>
      <c r="W86" s="575"/>
      <c r="X86" s="575"/>
      <c r="Y86" s="575"/>
      <c r="Z86" s="575"/>
      <c r="AA86" s="575"/>
      <c r="AB86" s="575"/>
      <c r="AC86" s="575"/>
      <c r="AD86" s="575"/>
      <c r="AE86" s="575"/>
      <c r="AF86" s="575"/>
      <c r="AG86" s="575"/>
      <c r="AH86" s="575"/>
      <c r="AI86" s="575"/>
      <c r="AJ86" s="575"/>
      <c r="AK86" s="575"/>
      <c r="AL86" s="575"/>
      <c r="AM86" s="575"/>
      <c r="AN86" s="575"/>
      <c r="AO86" s="575"/>
      <c r="AP86" s="575"/>
      <c r="AQ86" s="575"/>
      <c r="AR86" s="575"/>
      <c r="AS86" s="575"/>
      <c r="AT86" s="575"/>
      <c r="AU86" s="575"/>
      <c r="AV86" s="575"/>
      <c r="AW86" s="575"/>
      <c r="AX86" s="575"/>
      <c r="AY86" s="575"/>
      <c r="AZ86" s="577"/>
      <c r="BA86" s="577"/>
      <c r="BB86" s="577"/>
      <c r="BC86" s="577"/>
      <c r="BD86" s="577"/>
      <c r="BE86" s="577"/>
      <c r="BF86" s="577"/>
      <c r="BG86" s="577"/>
      <c r="BH86" s="577"/>
      <c r="BI86" s="577"/>
      <c r="BJ86" s="577"/>
      <c r="BK86" s="577"/>
      <c r="BL86" s="575"/>
      <c r="BM86" s="575"/>
    </row>
    <row r="87" spans="1:65" s="573" customFormat="1" ht="3.75" customHeight="1" x14ac:dyDescent="0.3">
      <c r="A87" s="575"/>
      <c r="B87" s="575"/>
      <c r="C87" s="575"/>
      <c r="D87" s="575"/>
      <c r="E87" s="575"/>
      <c r="F87" s="575"/>
      <c r="G87" s="575"/>
      <c r="H87" s="575"/>
      <c r="I87" s="575"/>
      <c r="J87" s="575"/>
      <c r="K87" s="575"/>
      <c r="L87" s="575"/>
      <c r="M87" s="575"/>
      <c r="N87" s="575"/>
      <c r="O87" s="575"/>
      <c r="P87" s="575"/>
      <c r="Q87" s="575"/>
      <c r="R87" s="575"/>
      <c r="S87" s="575"/>
      <c r="T87" s="575"/>
      <c r="U87" s="575"/>
      <c r="V87" s="575"/>
      <c r="W87" s="575"/>
      <c r="X87" s="575"/>
      <c r="Y87" s="575"/>
      <c r="Z87" s="575"/>
      <c r="AA87" s="575"/>
      <c r="AB87" s="575"/>
      <c r="AC87" s="575"/>
      <c r="AD87" s="575"/>
      <c r="AE87" s="575"/>
      <c r="AF87" s="575"/>
      <c r="AG87" s="575"/>
      <c r="AH87" s="575"/>
      <c r="AI87" s="575"/>
      <c r="AJ87" s="575"/>
      <c r="AK87" s="575"/>
      <c r="AL87" s="575"/>
      <c r="AM87" s="575"/>
      <c r="AN87" s="575"/>
      <c r="AO87" s="575"/>
      <c r="AP87" s="575"/>
      <c r="AQ87" s="575"/>
      <c r="AR87" s="575"/>
      <c r="AS87" s="575"/>
      <c r="AT87" s="575"/>
      <c r="AU87" s="575"/>
      <c r="AV87" s="575"/>
      <c r="AW87" s="575"/>
      <c r="AX87" s="575"/>
      <c r="AY87" s="575"/>
      <c r="AZ87" s="577"/>
      <c r="BA87" s="577"/>
      <c r="BB87" s="577"/>
      <c r="BC87" s="577"/>
      <c r="BD87" s="577"/>
      <c r="BE87" s="577"/>
      <c r="BF87" s="577"/>
      <c r="BG87" s="577"/>
      <c r="BH87" s="577"/>
      <c r="BI87" s="577"/>
      <c r="BJ87" s="577"/>
      <c r="BK87" s="577"/>
      <c r="BL87" s="575"/>
      <c r="BM87" s="575"/>
    </row>
    <row r="88" spans="1:65" s="573" customFormat="1" ht="3.75" customHeight="1" x14ac:dyDescent="0.3">
      <c r="A88" s="575"/>
      <c r="B88" s="575"/>
      <c r="C88" s="575"/>
      <c r="D88" s="575"/>
      <c r="E88" s="575"/>
      <c r="F88" s="575"/>
      <c r="G88" s="575"/>
      <c r="H88" s="575"/>
      <c r="I88" s="575"/>
      <c r="J88" s="575"/>
      <c r="K88" s="575"/>
      <c r="L88" s="575"/>
      <c r="M88" s="575"/>
      <c r="N88" s="575"/>
      <c r="O88" s="575"/>
      <c r="P88" s="575"/>
      <c r="Q88" s="575"/>
      <c r="R88" s="575"/>
      <c r="S88" s="575"/>
      <c r="T88" s="575"/>
      <c r="U88" s="575"/>
      <c r="V88" s="575"/>
      <c r="W88" s="575"/>
      <c r="X88" s="575"/>
      <c r="Y88" s="575"/>
      <c r="Z88" s="575"/>
      <c r="AA88" s="575"/>
      <c r="AB88" s="575"/>
      <c r="AC88" s="575"/>
      <c r="AD88" s="575"/>
      <c r="AE88" s="575"/>
      <c r="AF88" s="575"/>
      <c r="AG88" s="575"/>
      <c r="AH88" s="575"/>
      <c r="AI88" s="575"/>
      <c r="AJ88" s="575"/>
      <c r="AK88" s="575"/>
      <c r="AL88" s="575"/>
      <c r="AM88" s="575"/>
      <c r="AN88" s="575"/>
      <c r="AO88" s="575"/>
      <c r="AP88" s="575"/>
      <c r="AQ88" s="575"/>
      <c r="AR88" s="575"/>
      <c r="AS88" s="575"/>
      <c r="AT88" s="575"/>
      <c r="AU88" s="575"/>
      <c r="AV88" s="575"/>
      <c r="AW88" s="575"/>
      <c r="AX88" s="575"/>
      <c r="AY88" s="575"/>
      <c r="AZ88" s="577"/>
      <c r="BA88" s="577"/>
      <c r="BB88" s="577"/>
      <c r="BC88" s="577"/>
      <c r="BD88" s="577"/>
      <c r="BE88" s="577"/>
      <c r="BF88" s="577"/>
      <c r="BG88" s="577"/>
      <c r="BH88" s="577"/>
      <c r="BI88" s="577"/>
      <c r="BJ88" s="577"/>
      <c r="BK88" s="577"/>
      <c r="BL88" s="575"/>
      <c r="BM88" s="575"/>
    </row>
    <row r="89" spans="1:65" s="573" customFormat="1" ht="3.75" customHeight="1" x14ac:dyDescent="0.3">
      <c r="A89" s="575"/>
      <c r="B89" s="575"/>
      <c r="C89" s="575"/>
      <c r="D89" s="575"/>
      <c r="E89" s="575"/>
      <c r="F89" s="575"/>
      <c r="G89" s="575"/>
      <c r="H89" s="575"/>
      <c r="I89" s="575"/>
      <c r="J89" s="575"/>
      <c r="K89" s="575"/>
      <c r="L89" s="575"/>
      <c r="M89" s="575"/>
      <c r="N89" s="575"/>
      <c r="O89" s="575"/>
      <c r="P89" s="575"/>
      <c r="Q89" s="575"/>
      <c r="R89" s="575"/>
      <c r="S89" s="575"/>
      <c r="T89" s="575"/>
      <c r="U89" s="575"/>
      <c r="V89" s="575"/>
      <c r="W89" s="575"/>
      <c r="X89" s="575"/>
      <c r="Y89" s="575"/>
      <c r="Z89" s="575"/>
      <c r="AA89" s="575"/>
      <c r="AB89" s="575"/>
      <c r="AC89" s="575"/>
      <c r="AD89" s="575"/>
      <c r="AE89" s="575"/>
      <c r="AF89" s="575"/>
      <c r="AG89" s="575"/>
      <c r="AH89" s="575"/>
      <c r="AI89" s="575"/>
      <c r="AJ89" s="575"/>
      <c r="AK89" s="575"/>
      <c r="AL89" s="575"/>
      <c r="AM89" s="575"/>
      <c r="AN89" s="575"/>
      <c r="AO89" s="575"/>
      <c r="AP89" s="575"/>
      <c r="AQ89" s="575"/>
      <c r="AR89" s="575"/>
      <c r="AS89" s="575"/>
      <c r="AT89" s="575"/>
      <c r="AU89" s="575"/>
      <c r="AV89" s="575"/>
      <c r="AW89" s="575"/>
      <c r="AX89" s="575"/>
      <c r="AY89" s="575"/>
      <c r="AZ89" s="575"/>
      <c r="BA89" s="575"/>
      <c r="BB89" s="575"/>
      <c r="BC89" s="575"/>
      <c r="BD89" s="575"/>
      <c r="BE89" s="575"/>
      <c r="BF89" s="575"/>
      <c r="BG89" s="575"/>
      <c r="BH89" s="575"/>
      <c r="BI89" s="575"/>
      <c r="BJ89" s="575"/>
      <c r="BK89" s="575"/>
      <c r="BL89" s="575"/>
      <c r="BM89" s="575"/>
    </row>
    <row r="90" spans="1:65" s="573" customFormat="1" ht="3.75" customHeight="1" x14ac:dyDescent="0.3">
      <c r="A90" s="575"/>
      <c r="B90" s="575"/>
      <c r="C90" s="575"/>
      <c r="D90" s="575"/>
      <c r="E90" s="575"/>
      <c r="F90" s="575"/>
      <c r="G90" s="575"/>
      <c r="H90" s="575"/>
      <c r="I90" s="575"/>
      <c r="J90" s="575"/>
      <c r="K90" s="575"/>
      <c r="L90" s="575"/>
      <c r="M90" s="575"/>
      <c r="N90" s="575"/>
      <c r="O90" s="575"/>
      <c r="P90" s="575"/>
      <c r="Q90" s="575"/>
      <c r="R90" s="575"/>
      <c r="S90" s="575"/>
      <c r="T90" s="575"/>
      <c r="U90" s="575"/>
      <c r="V90" s="575"/>
      <c r="W90" s="575"/>
      <c r="X90" s="575"/>
      <c r="Y90" s="575"/>
      <c r="Z90" s="575"/>
      <c r="AA90" s="575"/>
      <c r="AB90" s="575"/>
      <c r="AC90" s="575"/>
      <c r="AD90" s="575"/>
      <c r="AE90" s="575"/>
      <c r="AF90" s="575"/>
      <c r="AG90" s="575"/>
      <c r="AH90" s="575"/>
      <c r="AI90" s="575"/>
      <c r="AJ90" s="575"/>
      <c r="AK90" s="575"/>
      <c r="AL90" s="575"/>
      <c r="AM90" s="575"/>
      <c r="AN90" s="575"/>
      <c r="AO90" s="575"/>
      <c r="AP90" s="575"/>
      <c r="AQ90" s="575"/>
      <c r="AR90" s="575"/>
      <c r="AS90" s="575"/>
      <c r="AT90" s="575"/>
      <c r="AU90" s="575"/>
      <c r="AV90" s="575"/>
      <c r="AW90" s="575"/>
      <c r="AX90" s="575"/>
      <c r="AY90" s="575"/>
      <c r="AZ90" s="575"/>
      <c r="BA90" s="575"/>
      <c r="BB90" s="575"/>
      <c r="BC90" s="575"/>
      <c r="BD90" s="575"/>
      <c r="BE90" s="575"/>
      <c r="BF90" s="575"/>
      <c r="BG90" s="575"/>
      <c r="BH90" s="575"/>
      <c r="BI90" s="575"/>
      <c r="BJ90" s="575"/>
      <c r="BK90" s="575"/>
      <c r="BL90" s="575"/>
      <c r="BM90" s="575"/>
    </row>
    <row r="91" spans="1:65" s="573" customFormat="1" ht="3.75" customHeight="1" x14ac:dyDescent="0.3">
      <c r="A91" s="575"/>
      <c r="B91" s="575"/>
      <c r="C91" s="575"/>
      <c r="D91" s="575"/>
      <c r="E91" s="575"/>
      <c r="F91" s="575"/>
      <c r="G91" s="575"/>
      <c r="H91" s="575"/>
      <c r="I91" s="575"/>
      <c r="J91" s="575"/>
      <c r="K91" s="575"/>
      <c r="L91" s="575"/>
      <c r="M91" s="575"/>
      <c r="N91" s="575"/>
      <c r="O91" s="575"/>
      <c r="P91" s="575"/>
      <c r="Q91" s="575"/>
      <c r="R91" s="575"/>
      <c r="S91" s="575"/>
      <c r="T91" s="575"/>
      <c r="U91" s="575"/>
      <c r="V91" s="575"/>
      <c r="W91" s="575"/>
      <c r="X91" s="575"/>
      <c r="Y91" s="575"/>
      <c r="Z91" s="575"/>
      <c r="AA91" s="575"/>
      <c r="AB91" s="575"/>
      <c r="AC91" s="575"/>
      <c r="AD91" s="575"/>
      <c r="AE91" s="575"/>
      <c r="AF91" s="575"/>
      <c r="AG91" s="575"/>
      <c r="AH91" s="575"/>
      <c r="AI91" s="575"/>
      <c r="AJ91" s="575"/>
      <c r="AK91" s="575"/>
      <c r="AL91" s="575"/>
      <c r="AM91" s="575"/>
      <c r="AN91" s="575"/>
      <c r="AO91" s="575"/>
      <c r="AP91" s="575"/>
      <c r="AQ91" s="575"/>
      <c r="AR91" s="575"/>
      <c r="AS91" s="575"/>
      <c r="AT91" s="575"/>
      <c r="AU91" s="575"/>
      <c r="AV91" s="575"/>
      <c r="AW91" s="575"/>
      <c r="AX91" s="575"/>
      <c r="AY91" s="575"/>
      <c r="AZ91" s="575"/>
      <c r="BA91" s="575"/>
      <c r="BB91" s="575"/>
      <c r="BC91" s="575"/>
      <c r="BD91" s="575"/>
      <c r="BE91" s="575"/>
      <c r="BF91" s="575"/>
      <c r="BG91" s="575"/>
      <c r="BH91" s="575"/>
      <c r="BI91" s="575"/>
      <c r="BJ91" s="575"/>
      <c r="BK91" s="575"/>
      <c r="BL91" s="575"/>
      <c r="BM91" s="575"/>
    </row>
    <row r="92" spans="1:65" s="573" customFormat="1" ht="3.75" customHeight="1" x14ac:dyDescent="0.3">
      <c r="A92" s="575"/>
      <c r="B92" s="575"/>
      <c r="C92" s="575"/>
      <c r="D92" s="575"/>
      <c r="E92" s="575"/>
      <c r="F92" s="575"/>
      <c r="G92" s="575"/>
      <c r="H92" s="575"/>
      <c r="I92" s="575"/>
      <c r="J92" s="575"/>
      <c r="K92" s="575"/>
      <c r="L92" s="575"/>
      <c r="M92" s="575"/>
      <c r="N92" s="575"/>
      <c r="O92" s="575"/>
      <c r="P92" s="575"/>
      <c r="Q92" s="575"/>
      <c r="R92" s="575"/>
      <c r="S92" s="575"/>
      <c r="T92" s="575"/>
      <c r="U92" s="575"/>
      <c r="V92" s="575"/>
      <c r="W92" s="575"/>
      <c r="X92" s="575"/>
      <c r="Y92" s="575"/>
      <c r="Z92" s="575"/>
      <c r="AA92" s="575"/>
      <c r="AB92" s="575"/>
      <c r="AC92" s="575"/>
      <c r="AD92" s="575"/>
      <c r="AE92" s="575"/>
      <c r="AF92" s="575"/>
      <c r="AG92" s="575"/>
      <c r="AH92" s="575"/>
      <c r="AI92" s="575"/>
      <c r="AJ92" s="575"/>
      <c r="AK92" s="575"/>
      <c r="AL92" s="575"/>
      <c r="AM92" s="575"/>
      <c r="AN92" s="575"/>
      <c r="AO92" s="575"/>
      <c r="AP92" s="575"/>
      <c r="AQ92" s="575"/>
      <c r="AR92" s="575"/>
      <c r="AS92" s="575"/>
      <c r="AT92" s="575"/>
      <c r="AU92" s="575"/>
      <c r="AV92" s="575"/>
      <c r="AW92" s="575"/>
      <c r="AX92" s="575"/>
      <c r="AY92" s="575"/>
      <c r="AZ92" s="583" t="str">
        <f>AZ78</f>
        <v xml:space="preserve">	8916733 / 2023</v>
      </c>
      <c r="BA92" s="577"/>
      <c r="BB92" s="577"/>
      <c r="BC92" s="577"/>
      <c r="BD92" s="577"/>
      <c r="BE92" s="577"/>
      <c r="BF92" s="577"/>
      <c r="BG92" s="577"/>
      <c r="BH92" s="577"/>
      <c r="BI92" s="577"/>
      <c r="BJ92" s="577"/>
      <c r="BK92" s="577"/>
      <c r="BL92" s="575"/>
      <c r="BM92" s="575"/>
    </row>
    <row r="93" spans="1:65" s="573" customFormat="1" ht="3.75" customHeight="1" x14ac:dyDescent="0.3">
      <c r="A93" s="575"/>
      <c r="B93" s="575"/>
      <c r="C93" s="575"/>
      <c r="D93" s="575"/>
      <c r="E93" s="575"/>
      <c r="F93" s="575"/>
      <c r="G93" s="575"/>
      <c r="H93" s="575"/>
      <c r="I93" s="575"/>
      <c r="J93" s="575"/>
      <c r="K93" s="575"/>
      <c r="L93" s="575"/>
      <c r="M93" s="575"/>
      <c r="N93" s="575"/>
      <c r="O93" s="575"/>
      <c r="P93" s="575"/>
      <c r="Q93" s="575"/>
      <c r="R93" s="575"/>
      <c r="S93" s="575"/>
      <c r="T93" s="575"/>
      <c r="U93" s="575"/>
      <c r="V93" s="575"/>
      <c r="W93" s="575"/>
      <c r="X93" s="575"/>
      <c r="Y93" s="575"/>
      <c r="Z93" s="575"/>
      <c r="AA93" s="575"/>
      <c r="AB93" s="575"/>
      <c r="AC93" s="575"/>
      <c r="AD93" s="575"/>
      <c r="AE93" s="575"/>
      <c r="AF93" s="575"/>
      <c r="AG93" s="575"/>
      <c r="AH93" s="575"/>
      <c r="AI93" s="575"/>
      <c r="AJ93" s="575"/>
      <c r="AK93" s="575"/>
      <c r="AL93" s="575"/>
      <c r="AM93" s="575"/>
      <c r="AN93" s="575"/>
      <c r="AO93" s="575"/>
      <c r="AP93" s="575"/>
      <c r="AQ93" s="575"/>
      <c r="AR93" s="575"/>
      <c r="AS93" s="575"/>
      <c r="AT93" s="575"/>
      <c r="AU93" s="575"/>
      <c r="AV93" s="575"/>
      <c r="AW93" s="575"/>
      <c r="AX93" s="575"/>
      <c r="AY93" s="575"/>
      <c r="AZ93" s="577"/>
      <c r="BA93" s="577"/>
      <c r="BB93" s="577"/>
      <c r="BC93" s="577"/>
      <c r="BD93" s="577"/>
      <c r="BE93" s="577"/>
      <c r="BF93" s="577"/>
      <c r="BG93" s="577"/>
      <c r="BH93" s="577"/>
      <c r="BI93" s="577"/>
      <c r="BJ93" s="577"/>
      <c r="BK93" s="577"/>
      <c r="BL93" s="575"/>
      <c r="BM93" s="575"/>
    </row>
    <row r="94" spans="1:65" s="573" customFormat="1" ht="3.75" customHeight="1" x14ac:dyDescent="0.3">
      <c r="A94" s="575"/>
      <c r="B94" s="575"/>
      <c r="C94" s="575"/>
      <c r="D94" s="575"/>
      <c r="E94" s="575"/>
      <c r="F94" s="575"/>
      <c r="G94" s="575"/>
      <c r="H94" s="575"/>
      <c r="I94" s="575"/>
      <c r="J94" s="575"/>
      <c r="K94" s="575"/>
      <c r="L94" s="575"/>
      <c r="M94" s="575"/>
      <c r="N94" s="575"/>
      <c r="O94" s="575"/>
      <c r="P94" s="575"/>
      <c r="Q94" s="575"/>
      <c r="R94" s="575"/>
      <c r="S94" s="575"/>
      <c r="T94" s="575"/>
      <c r="U94" s="575"/>
      <c r="V94" s="575"/>
      <c r="W94" s="575"/>
      <c r="X94" s="575"/>
      <c r="Y94" s="575"/>
      <c r="Z94" s="575"/>
      <c r="AA94" s="575"/>
      <c r="AB94" s="575"/>
      <c r="AC94" s="575"/>
      <c r="AD94" s="575"/>
      <c r="AE94" s="575"/>
      <c r="AF94" s="575"/>
      <c r="AG94" s="575"/>
      <c r="AH94" s="575"/>
      <c r="AI94" s="575"/>
      <c r="AJ94" s="575"/>
      <c r="AK94" s="575"/>
      <c r="AL94" s="575"/>
      <c r="AM94" s="575"/>
      <c r="AN94" s="575"/>
      <c r="AO94" s="575"/>
      <c r="AP94" s="575"/>
      <c r="AQ94" s="575"/>
      <c r="AR94" s="575"/>
      <c r="AS94" s="575"/>
      <c r="AT94" s="575"/>
      <c r="AU94" s="575"/>
      <c r="AV94" s="575"/>
      <c r="AW94" s="575"/>
      <c r="AX94" s="575"/>
      <c r="AY94" s="575"/>
      <c r="AZ94" s="577"/>
      <c r="BA94" s="577"/>
      <c r="BB94" s="577"/>
      <c r="BC94" s="577"/>
      <c r="BD94" s="577"/>
      <c r="BE94" s="577"/>
      <c r="BF94" s="577"/>
      <c r="BG94" s="577"/>
      <c r="BH94" s="577"/>
      <c r="BI94" s="577"/>
      <c r="BJ94" s="577"/>
      <c r="BK94" s="577"/>
      <c r="BL94" s="575"/>
      <c r="BM94" s="575"/>
    </row>
    <row r="95" spans="1:65" s="573" customFormat="1" ht="3.75" customHeight="1" x14ac:dyDescent="0.3">
      <c r="A95" s="575"/>
      <c r="B95" s="575"/>
      <c r="C95" s="575"/>
      <c r="D95" s="575"/>
      <c r="E95" s="575"/>
      <c r="F95" s="575"/>
      <c r="G95" s="575"/>
      <c r="H95" s="575"/>
      <c r="I95" s="575"/>
      <c r="J95" s="575"/>
      <c r="K95" s="575"/>
      <c r="L95" s="575"/>
      <c r="M95" s="575"/>
      <c r="N95" s="575"/>
      <c r="O95" s="575"/>
      <c r="P95" s="575"/>
      <c r="Q95" s="575"/>
      <c r="R95" s="575"/>
      <c r="S95" s="575"/>
      <c r="T95" s="575"/>
      <c r="U95" s="575"/>
      <c r="V95" s="575"/>
      <c r="W95" s="575"/>
      <c r="X95" s="575"/>
      <c r="Y95" s="575"/>
      <c r="Z95" s="575"/>
      <c r="AA95" s="575"/>
      <c r="AB95" s="575"/>
      <c r="AC95" s="575"/>
      <c r="AD95" s="575"/>
      <c r="AE95" s="575"/>
      <c r="AF95" s="575"/>
      <c r="AG95" s="575"/>
      <c r="AH95" s="575"/>
      <c r="AI95" s="575"/>
      <c r="AJ95" s="575"/>
      <c r="AK95" s="575"/>
      <c r="AL95" s="575"/>
      <c r="AM95" s="575"/>
      <c r="AN95" s="575"/>
      <c r="AO95" s="575"/>
      <c r="AP95" s="575"/>
      <c r="AQ95" s="575"/>
      <c r="AR95" s="575"/>
      <c r="AS95" s="575"/>
      <c r="AT95" s="575"/>
      <c r="AU95" s="575"/>
      <c r="AV95" s="575"/>
      <c r="AW95" s="575"/>
      <c r="AX95" s="575"/>
      <c r="AY95" s="575"/>
      <c r="AZ95" s="577"/>
      <c r="BA95" s="577"/>
      <c r="BB95" s="577"/>
      <c r="BC95" s="577"/>
      <c r="BD95" s="577"/>
      <c r="BE95" s="577"/>
      <c r="BF95" s="577"/>
      <c r="BG95" s="577"/>
      <c r="BH95" s="577"/>
      <c r="BI95" s="577"/>
      <c r="BJ95" s="577"/>
      <c r="BK95" s="577"/>
      <c r="BL95" s="575"/>
      <c r="BM95" s="575"/>
    </row>
    <row r="96" spans="1:65" s="573" customFormat="1" ht="3.75" customHeight="1" x14ac:dyDescent="0.3">
      <c r="A96" s="575"/>
      <c r="B96" s="575"/>
      <c r="C96" s="575"/>
      <c r="D96" s="575"/>
      <c r="E96" s="575"/>
      <c r="F96" s="575"/>
      <c r="G96" s="575"/>
      <c r="H96" s="575"/>
      <c r="I96" s="575"/>
      <c r="J96" s="575"/>
      <c r="K96" s="575"/>
      <c r="L96" s="575"/>
      <c r="M96" s="575"/>
      <c r="N96" s="575"/>
      <c r="O96" s="575"/>
      <c r="P96" s="575"/>
      <c r="Q96" s="575"/>
      <c r="R96" s="575"/>
      <c r="S96" s="575"/>
      <c r="T96" s="575"/>
      <c r="U96" s="575"/>
      <c r="V96" s="575"/>
      <c r="W96" s="575"/>
      <c r="X96" s="575"/>
      <c r="Y96" s="575"/>
      <c r="Z96" s="575"/>
      <c r="AA96" s="575"/>
      <c r="AB96" s="575"/>
      <c r="AC96" s="575"/>
      <c r="AD96" s="575"/>
      <c r="AE96" s="575"/>
      <c r="AF96" s="575"/>
      <c r="AG96" s="575"/>
      <c r="AH96" s="575"/>
      <c r="AI96" s="575"/>
      <c r="AJ96" s="575"/>
      <c r="AK96" s="575"/>
      <c r="AL96" s="575"/>
      <c r="AM96" s="575"/>
      <c r="AN96" s="575"/>
      <c r="AO96" s="575"/>
      <c r="AP96" s="575"/>
      <c r="AQ96" s="575"/>
      <c r="AR96" s="575"/>
      <c r="AS96" s="575"/>
      <c r="AT96" s="575"/>
      <c r="AU96" s="575"/>
      <c r="AV96" s="575"/>
      <c r="AW96" s="575"/>
      <c r="AX96" s="575"/>
      <c r="AY96" s="575"/>
      <c r="AZ96" s="575"/>
      <c r="BA96" s="575"/>
      <c r="BB96" s="575"/>
      <c r="BC96" s="575"/>
      <c r="BD96" s="575"/>
      <c r="BE96" s="575"/>
      <c r="BF96" s="575"/>
      <c r="BG96" s="575"/>
      <c r="BH96" s="575"/>
      <c r="BI96" s="575"/>
      <c r="BJ96" s="575"/>
      <c r="BK96" s="575"/>
      <c r="BL96" s="575"/>
      <c r="BM96" s="575"/>
    </row>
    <row r="97" spans="1:65" s="573" customFormat="1" ht="3.75" customHeight="1" x14ac:dyDescent="0.3">
      <c r="A97" s="575"/>
      <c r="B97" s="575"/>
      <c r="C97" s="575"/>
      <c r="D97" s="575"/>
      <c r="E97" s="575"/>
      <c r="F97" s="575"/>
      <c r="G97" s="575"/>
      <c r="H97" s="575"/>
      <c r="I97" s="575"/>
      <c r="J97" s="575"/>
      <c r="K97" s="575"/>
      <c r="L97" s="575"/>
      <c r="M97" s="575"/>
      <c r="N97" s="575"/>
      <c r="O97" s="575"/>
      <c r="P97" s="575"/>
      <c r="Q97" s="575"/>
      <c r="R97" s="575"/>
      <c r="S97" s="575"/>
      <c r="T97" s="575"/>
      <c r="U97" s="575"/>
      <c r="V97" s="575"/>
      <c r="W97" s="575"/>
      <c r="X97" s="575"/>
      <c r="Y97" s="575"/>
      <c r="Z97" s="575"/>
      <c r="AA97" s="575"/>
      <c r="AB97" s="575"/>
      <c r="AC97" s="575"/>
      <c r="AD97" s="575"/>
      <c r="AE97" s="575"/>
      <c r="AF97" s="575"/>
      <c r="AG97" s="575"/>
      <c r="AH97" s="575"/>
      <c r="AI97" s="575"/>
      <c r="AJ97" s="575"/>
      <c r="AK97" s="575"/>
      <c r="AL97" s="575"/>
      <c r="AM97" s="575"/>
      <c r="AN97" s="575"/>
      <c r="AO97" s="575"/>
      <c r="AP97" s="575"/>
      <c r="AQ97" s="575"/>
      <c r="AR97" s="575"/>
      <c r="AS97" s="575"/>
      <c r="AT97" s="575"/>
      <c r="AU97" s="575"/>
      <c r="AV97" s="575"/>
      <c r="AW97" s="575"/>
      <c r="AX97" s="575"/>
      <c r="AY97" s="575"/>
      <c r="AZ97" s="575"/>
      <c r="BA97" s="575"/>
      <c r="BB97" s="575"/>
      <c r="BC97" s="575"/>
      <c r="BD97" s="575"/>
      <c r="BE97" s="575"/>
      <c r="BF97" s="575"/>
      <c r="BG97" s="575"/>
      <c r="BH97" s="575"/>
      <c r="BI97" s="575"/>
      <c r="BJ97" s="575"/>
      <c r="BK97" s="575"/>
      <c r="BL97" s="575"/>
      <c r="BM97" s="575"/>
    </row>
    <row r="98" spans="1:65" s="573" customFormat="1" ht="3.75" customHeight="1" x14ac:dyDescent="0.3">
      <c r="A98" s="575"/>
      <c r="B98" s="575"/>
      <c r="C98" s="575"/>
      <c r="D98" s="575"/>
      <c r="E98" s="575"/>
      <c r="F98" s="575"/>
      <c r="G98" s="575"/>
      <c r="H98" s="575"/>
      <c r="I98" s="575"/>
      <c r="J98" s="575"/>
      <c r="K98" s="575"/>
      <c r="L98" s="575"/>
      <c r="M98" s="575"/>
      <c r="N98" s="575"/>
      <c r="O98" s="575"/>
      <c r="P98" s="575"/>
      <c r="Q98" s="575"/>
      <c r="R98" s="575"/>
      <c r="S98" s="575"/>
      <c r="T98" s="575"/>
      <c r="U98" s="575"/>
      <c r="V98" s="575"/>
      <c r="W98" s="575"/>
      <c r="X98" s="575"/>
      <c r="Y98" s="575"/>
      <c r="Z98" s="575"/>
      <c r="AA98" s="575"/>
      <c r="AB98" s="575"/>
      <c r="AC98" s="575"/>
      <c r="AD98" s="575"/>
      <c r="AE98" s="575"/>
      <c r="AF98" s="575"/>
      <c r="AG98" s="575"/>
      <c r="AH98" s="575"/>
      <c r="AI98" s="575"/>
      <c r="AJ98" s="575"/>
      <c r="AK98" s="575"/>
      <c r="AL98" s="575"/>
      <c r="AM98" s="575"/>
      <c r="AN98" s="575"/>
      <c r="AO98" s="575"/>
      <c r="AP98" s="575"/>
      <c r="AQ98" s="575"/>
      <c r="AR98" s="575"/>
      <c r="AS98" s="575"/>
      <c r="AT98" s="575"/>
      <c r="AU98" s="575"/>
      <c r="AV98" s="575"/>
      <c r="AW98" s="575"/>
      <c r="AX98" s="575"/>
      <c r="AY98" s="575"/>
      <c r="AZ98" s="575"/>
      <c r="BA98" s="575"/>
      <c r="BB98" s="575"/>
      <c r="BC98" s="575"/>
      <c r="BD98" s="575"/>
      <c r="BE98" s="575"/>
      <c r="BF98" s="575"/>
      <c r="BG98" s="575"/>
      <c r="BH98" s="575"/>
      <c r="BI98" s="575"/>
      <c r="BJ98" s="575"/>
      <c r="BK98" s="575"/>
      <c r="BL98" s="575"/>
      <c r="BM98" s="575"/>
    </row>
    <row r="99" spans="1:65" s="573" customFormat="1" ht="3.75" customHeight="1" x14ac:dyDescent="0.3">
      <c r="A99" s="575"/>
      <c r="B99" s="575"/>
      <c r="C99" s="575"/>
      <c r="D99" s="575"/>
      <c r="E99" s="575"/>
      <c r="F99" s="575"/>
      <c r="G99" s="575"/>
      <c r="H99" s="575"/>
      <c r="I99" s="575"/>
      <c r="J99" s="575"/>
      <c r="K99" s="575"/>
      <c r="L99" s="575"/>
      <c r="M99" s="575"/>
      <c r="N99" s="575"/>
      <c r="O99" s="575"/>
      <c r="P99" s="575"/>
      <c r="Q99" s="575"/>
      <c r="R99" s="575"/>
      <c r="S99" s="575"/>
      <c r="T99" s="575"/>
      <c r="U99" s="575"/>
      <c r="V99" s="575"/>
      <c r="W99" s="575"/>
      <c r="X99" s="575"/>
      <c r="Y99" s="575"/>
      <c r="Z99" s="575"/>
      <c r="AA99" s="575"/>
      <c r="AB99" s="575"/>
      <c r="AC99" s="575"/>
      <c r="AD99" s="575"/>
      <c r="AE99" s="575"/>
      <c r="AF99" s="575"/>
      <c r="AG99" s="575"/>
      <c r="AH99" s="575"/>
      <c r="AI99" s="575"/>
      <c r="AJ99" s="575"/>
      <c r="AK99" s="575"/>
      <c r="AL99" s="575"/>
      <c r="AM99" s="575"/>
      <c r="AN99" s="575"/>
      <c r="AO99" s="575"/>
      <c r="AP99" s="575"/>
      <c r="AQ99" s="575"/>
      <c r="AR99" s="575"/>
      <c r="AS99" s="575"/>
      <c r="AT99" s="575"/>
      <c r="AU99" s="575"/>
      <c r="AV99" s="575"/>
      <c r="AW99" s="575"/>
      <c r="AX99" s="575"/>
      <c r="AY99" s="575"/>
      <c r="AZ99" s="575"/>
      <c r="BA99" s="575"/>
      <c r="BB99" s="575"/>
      <c r="BC99" s="575"/>
      <c r="BD99" s="575"/>
      <c r="BE99" s="575"/>
      <c r="BF99" s="575"/>
      <c r="BG99" s="575"/>
      <c r="BH99" s="575"/>
      <c r="BI99" s="575"/>
      <c r="BJ99" s="575"/>
      <c r="BK99" s="575"/>
      <c r="BL99" s="575"/>
      <c r="BM99" s="575"/>
    </row>
    <row r="100" spans="1:65" s="573" customFormat="1" ht="3.75" customHeight="1" x14ac:dyDescent="0.3">
      <c r="A100" s="575"/>
      <c r="B100" s="575"/>
      <c r="C100" s="575"/>
      <c r="D100" s="575"/>
      <c r="E100" s="575"/>
      <c r="F100" s="575"/>
      <c r="G100" s="575"/>
      <c r="H100" s="575"/>
      <c r="I100" s="575"/>
      <c r="J100" s="575"/>
      <c r="K100" s="575"/>
      <c r="L100" s="575"/>
      <c r="M100" s="575"/>
      <c r="N100" s="575"/>
      <c r="O100" s="575"/>
      <c r="P100" s="575"/>
      <c r="Q100" s="575"/>
      <c r="R100" s="575"/>
      <c r="S100" s="575"/>
      <c r="T100" s="575"/>
      <c r="U100" s="575"/>
      <c r="V100" s="575"/>
      <c r="W100" s="575"/>
      <c r="X100" s="575"/>
      <c r="Y100" s="575"/>
      <c r="Z100" s="575"/>
      <c r="AA100" s="575"/>
      <c r="AB100" s="575"/>
      <c r="AC100" s="575"/>
      <c r="AD100" s="575"/>
      <c r="AE100" s="575"/>
      <c r="AF100" s="575"/>
      <c r="AG100" s="575"/>
      <c r="AH100" s="575"/>
      <c r="AI100" s="575"/>
      <c r="AJ100" s="575"/>
      <c r="AK100" s="575"/>
      <c r="AL100" s="575"/>
      <c r="AM100" s="575"/>
      <c r="AN100" s="575"/>
      <c r="AO100" s="575"/>
      <c r="AP100" s="575"/>
      <c r="AQ100" s="575"/>
      <c r="AR100" s="575"/>
      <c r="AS100" s="575"/>
      <c r="AT100" s="575"/>
      <c r="AU100" s="575"/>
      <c r="AV100" s="575"/>
      <c r="AW100" s="575"/>
      <c r="AX100" s="575"/>
      <c r="AY100" s="575"/>
      <c r="AZ100" s="575"/>
      <c r="BA100" s="575"/>
      <c r="BB100" s="575"/>
      <c r="BC100" s="575"/>
      <c r="BD100" s="575"/>
      <c r="BE100" s="575"/>
      <c r="BF100" s="575"/>
      <c r="BG100" s="575"/>
      <c r="BH100" s="575"/>
      <c r="BI100" s="575"/>
      <c r="BJ100" s="575"/>
      <c r="BK100" s="575"/>
      <c r="BL100" s="575"/>
      <c r="BM100" s="575"/>
    </row>
    <row r="101" spans="1:65" s="573" customFormat="1" ht="3.75" customHeight="1" x14ac:dyDescent="0.3">
      <c r="A101" s="575"/>
      <c r="B101" s="575"/>
      <c r="C101" s="575"/>
      <c r="D101" s="575"/>
      <c r="E101" s="575"/>
      <c r="F101" s="575"/>
      <c r="G101" s="575"/>
      <c r="H101" s="575"/>
      <c r="I101" s="575"/>
      <c r="J101" s="575"/>
      <c r="K101" s="575"/>
      <c r="L101" s="575"/>
      <c r="M101" s="575"/>
      <c r="N101" s="575"/>
      <c r="O101" s="575"/>
      <c r="P101" s="575"/>
      <c r="Q101" s="575"/>
      <c r="R101" s="575"/>
      <c r="S101" s="575"/>
      <c r="T101" s="575"/>
      <c r="U101" s="575"/>
      <c r="V101" s="575"/>
      <c r="W101" s="575"/>
      <c r="X101" s="575"/>
      <c r="Y101" s="575"/>
      <c r="Z101" s="575"/>
      <c r="AA101" s="575"/>
      <c r="AB101" s="575"/>
      <c r="AC101" s="575"/>
      <c r="AD101" s="575"/>
      <c r="AE101" s="575"/>
      <c r="AF101" s="575"/>
      <c r="AG101" s="575"/>
      <c r="AH101" s="575"/>
      <c r="AI101" s="575"/>
      <c r="AJ101" s="575"/>
      <c r="AK101" s="575"/>
      <c r="AL101" s="575"/>
      <c r="AM101" s="575"/>
      <c r="AN101" s="575"/>
      <c r="AO101" s="575"/>
      <c r="AP101" s="575"/>
      <c r="AQ101" s="575"/>
      <c r="AR101" s="575"/>
      <c r="AS101" s="575"/>
      <c r="AT101" s="575"/>
      <c r="AU101" s="575"/>
      <c r="AV101" s="575"/>
      <c r="AW101" s="575"/>
      <c r="AX101" s="575"/>
      <c r="AY101" s="575"/>
      <c r="AZ101" s="575"/>
      <c r="BA101" s="575"/>
      <c r="BB101" s="575"/>
      <c r="BC101" s="575"/>
      <c r="BD101" s="575"/>
      <c r="BE101" s="575"/>
      <c r="BF101" s="575"/>
      <c r="BG101" s="575"/>
      <c r="BH101" s="575"/>
      <c r="BI101" s="575"/>
      <c r="BJ101" s="575"/>
      <c r="BK101" s="575"/>
      <c r="BL101" s="575"/>
      <c r="BM101" s="575"/>
    </row>
    <row r="102" spans="1:65" s="573" customFormat="1" ht="3.75" customHeight="1" x14ac:dyDescent="0.3">
      <c r="A102" s="575"/>
      <c r="B102" s="575"/>
      <c r="C102" s="575"/>
      <c r="D102" s="575"/>
      <c r="E102" s="575"/>
      <c r="F102" s="575"/>
      <c r="G102" s="575"/>
      <c r="H102" s="575"/>
      <c r="I102" s="575"/>
      <c r="J102" s="575"/>
      <c r="K102" s="575"/>
      <c r="L102" s="575"/>
      <c r="M102" s="575"/>
      <c r="N102" s="575"/>
      <c r="O102" s="575"/>
      <c r="P102" s="575"/>
      <c r="Q102" s="575"/>
      <c r="R102" s="575"/>
      <c r="S102" s="575"/>
      <c r="T102" s="575"/>
      <c r="U102" s="575"/>
      <c r="V102" s="575"/>
      <c r="W102" s="575"/>
      <c r="X102" s="575"/>
      <c r="Y102" s="575"/>
      <c r="Z102" s="575"/>
      <c r="AA102" s="575"/>
      <c r="AB102" s="575"/>
      <c r="AC102" s="575"/>
      <c r="AD102" s="575"/>
      <c r="AE102" s="575"/>
      <c r="AF102" s="575"/>
      <c r="AG102" s="575"/>
      <c r="AH102" s="575"/>
      <c r="AI102" s="575"/>
      <c r="AJ102" s="575"/>
      <c r="AK102" s="575"/>
      <c r="AL102" s="575"/>
      <c r="AM102" s="575"/>
      <c r="AN102" s="575"/>
      <c r="AO102" s="575"/>
      <c r="AP102" s="575"/>
      <c r="AQ102" s="575"/>
      <c r="AR102" s="575"/>
      <c r="AS102" s="575"/>
      <c r="AT102" s="575"/>
      <c r="AU102" s="575"/>
      <c r="AV102" s="575"/>
      <c r="AW102" s="575"/>
      <c r="AX102" s="575"/>
      <c r="AY102" s="575"/>
      <c r="AZ102" s="575"/>
      <c r="BA102" s="575"/>
      <c r="BB102" s="575"/>
      <c r="BC102" s="575"/>
      <c r="BD102" s="575"/>
      <c r="BE102" s="575"/>
      <c r="BF102" s="575"/>
      <c r="BG102" s="575"/>
      <c r="BH102" s="575"/>
      <c r="BI102" s="575"/>
      <c r="BJ102" s="575"/>
      <c r="BK102" s="575"/>
      <c r="BL102" s="575"/>
      <c r="BM102" s="575"/>
    </row>
    <row r="103" spans="1:65" s="573" customFormat="1" ht="3.75" customHeight="1" x14ac:dyDescent="0.3">
      <c r="A103" s="575"/>
      <c r="B103" s="575"/>
      <c r="C103" s="575"/>
      <c r="D103" s="575"/>
      <c r="E103" s="575"/>
      <c r="F103" s="575"/>
      <c r="G103" s="575"/>
      <c r="H103" s="575"/>
      <c r="I103" s="575"/>
      <c r="J103" s="575"/>
      <c r="K103" s="575"/>
      <c r="L103" s="575"/>
      <c r="M103" s="575"/>
      <c r="N103" s="575"/>
      <c r="O103" s="575"/>
      <c r="P103" s="575"/>
      <c r="Q103" s="575"/>
      <c r="R103" s="575"/>
      <c r="S103" s="575"/>
      <c r="T103" s="575"/>
      <c r="U103" s="575"/>
      <c r="V103" s="575"/>
      <c r="W103" s="575"/>
      <c r="X103" s="575"/>
      <c r="Y103" s="575"/>
      <c r="Z103" s="575"/>
      <c r="AA103" s="575"/>
      <c r="AB103" s="575"/>
      <c r="AC103" s="575"/>
      <c r="AD103" s="575"/>
      <c r="AE103" s="575"/>
      <c r="AF103" s="575"/>
      <c r="AG103" s="575"/>
      <c r="AH103" s="575"/>
      <c r="AI103" s="575"/>
      <c r="AJ103" s="575"/>
      <c r="AK103" s="575"/>
      <c r="AL103" s="575"/>
      <c r="AM103" s="575"/>
      <c r="AN103" s="575"/>
      <c r="AO103" s="575"/>
      <c r="AP103" s="575"/>
      <c r="AQ103" s="575"/>
      <c r="AR103" s="575"/>
      <c r="AS103" s="575"/>
      <c r="AT103" s="575"/>
      <c r="AU103" s="575"/>
      <c r="AV103" s="575"/>
      <c r="AW103" s="575"/>
      <c r="AX103" s="575"/>
      <c r="AY103" s="575"/>
      <c r="AZ103" s="575"/>
      <c r="BA103" s="575"/>
      <c r="BB103" s="575"/>
      <c r="BC103" s="575"/>
      <c r="BD103" s="575"/>
      <c r="BE103" s="575"/>
      <c r="BF103" s="575"/>
      <c r="BG103" s="575"/>
      <c r="BH103" s="575"/>
      <c r="BI103" s="575"/>
      <c r="BJ103" s="575"/>
      <c r="BK103" s="575"/>
      <c r="BL103" s="575"/>
      <c r="BM103" s="575"/>
    </row>
    <row r="104" spans="1:65" s="573" customFormat="1" ht="3.75" customHeight="1" x14ac:dyDescent="0.3">
      <c r="A104" s="575"/>
      <c r="B104" s="575"/>
      <c r="C104" s="575"/>
      <c r="D104" s="575"/>
      <c r="E104" s="575"/>
      <c r="F104" s="575"/>
      <c r="G104" s="575"/>
      <c r="H104" s="575"/>
      <c r="I104" s="575"/>
      <c r="J104" s="575"/>
      <c r="K104" s="575"/>
      <c r="L104" s="575"/>
      <c r="M104" s="575"/>
      <c r="N104" s="575"/>
      <c r="O104" s="575"/>
      <c r="P104" s="575"/>
      <c r="Q104" s="575"/>
      <c r="R104" s="575"/>
      <c r="S104" s="575"/>
      <c r="T104" s="575"/>
      <c r="U104" s="575"/>
      <c r="V104" s="575"/>
      <c r="W104" s="575"/>
      <c r="X104" s="575"/>
      <c r="Y104" s="575"/>
      <c r="Z104" s="575"/>
      <c r="AA104" s="575"/>
      <c r="AB104" s="575"/>
      <c r="AC104" s="575"/>
      <c r="AD104" s="575"/>
      <c r="AE104" s="575"/>
      <c r="AF104" s="575"/>
      <c r="AG104" s="575"/>
      <c r="AH104" s="575"/>
      <c r="AI104" s="575"/>
      <c r="AJ104" s="575"/>
      <c r="AK104" s="575"/>
      <c r="AL104" s="575"/>
      <c r="AM104" s="575"/>
      <c r="AN104" s="575"/>
      <c r="AO104" s="575"/>
      <c r="AP104" s="575"/>
      <c r="AQ104" s="575"/>
      <c r="AR104" s="575"/>
      <c r="AS104" s="575"/>
      <c r="AT104" s="575"/>
      <c r="AU104" s="575"/>
      <c r="AV104" s="575"/>
      <c r="AW104" s="575"/>
      <c r="AX104" s="575"/>
      <c r="AY104" s="575"/>
      <c r="AZ104" s="575"/>
      <c r="BA104" s="575"/>
      <c r="BB104" s="575"/>
      <c r="BC104" s="575"/>
      <c r="BD104" s="575"/>
      <c r="BE104" s="575"/>
      <c r="BF104" s="575"/>
      <c r="BG104" s="575"/>
      <c r="BH104" s="575"/>
      <c r="BI104" s="575"/>
      <c r="BJ104" s="575"/>
      <c r="BK104" s="575"/>
      <c r="BL104" s="575"/>
      <c r="BM104" s="575"/>
    </row>
    <row r="105" spans="1:65" s="573" customFormat="1" ht="3.75" customHeight="1" x14ac:dyDescent="0.3">
      <c r="A105" s="575"/>
      <c r="B105" s="575"/>
      <c r="C105" s="575"/>
      <c r="D105" s="575"/>
      <c r="E105" s="575"/>
      <c r="F105" s="575"/>
      <c r="G105" s="575"/>
      <c r="H105" s="575"/>
      <c r="I105" s="575"/>
      <c r="J105" s="575"/>
      <c r="K105" s="575"/>
      <c r="L105" s="575"/>
      <c r="M105" s="575"/>
      <c r="N105" s="575"/>
      <c r="O105" s="575"/>
      <c r="P105" s="575"/>
      <c r="Q105" s="575"/>
      <c r="R105" s="575"/>
      <c r="S105" s="575"/>
      <c r="T105" s="575"/>
      <c r="U105" s="575"/>
      <c r="V105" s="575"/>
      <c r="W105" s="575"/>
      <c r="X105" s="575"/>
      <c r="Y105" s="575"/>
      <c r="Z105" s="575"/>
      <c r="AA105" s="575"/>
      <c r="AB105" s="575"/>
      <c r="AC105" s="575"/>
      <c r="AD105" s="575"/>
      <c r="AE105" s="575"/>
      <c r="AF105" s="575"/>
      <c r="AG105" s="575"/>
      <c r="AH105" s="575"/>
      <c r="AI105" s="575"/>
      <c r="AJ105" s="575"/>
      <c r="AK105" s="575"/>
      <c r="AL105" s="575"/>
      <c r="AM105" s="575"/>
      <c r="AN105" s="575"/>
      <c r="AO105" s="575"/>
      <c r="AP105" s="575"/>
      <c r="AQ105" s="575"/>
      <c r="AR105" s="575"/>
      <c r="AS105" s="575"/>
      <c r="AT105" s="575"/>
      <c r="AU105" s="575"/>
      <c r="AV105" s="575"/>
      <c r="AW105" s="575"/>
      <c r="AX105" s="575"/>
      <c r="AY105" s="575"/>
      <c r="AZ105" s="575"/>
      <c r="BA105" s="575"/>
      <c r="BB105" s="575"/>
      <c r="BC105" s="575"/>
      <c r="BD105" s="575"/>
      <c r="BE105" s="575"/>
      <c r="BF105" s="575"/>
      <c r="BG105" s="575"/>
      <c r="BH105" s="575"/>
      <c r="BI105" s="575"/>
      <c r="BJ105" s="575"/>
      <c r="BK105" s="575"/>
      <c r="BL105" s="575"/>
      <c r="BM105" s="575"/>
    </row>
    <row r="106" spans="1:65" s="573" customFormat="1" ht="3.75" customHeight="1" x14ac:dyDescent="0.3">
      <c r="A106" s="575"/>
      <c r="B106" s="575"/>
      <c r="C106" s="575"/>
      <c r="D106" s="575"/>
      <c r="E106" s="575"/>
      <c r="F106" s="575"/>
      <c r="G106" s="575"/>
      <c r="H106" s="575"/>
      <c r="I106" s="575"/>
      <c r="J106" s="575"/>
      <c r="K106" s="575"/>
      <c r="L106" s="575"/>
      <c r="M106" s="575"/>
      <c r="N106" s="575"/>
      <c r="O106" s="575"/>
      <c r="P106" s="575"/>
      <c r="Q106" s="575"/>
      <c r="R106" s="575"/>
      <c r="S106" s="575"/>
      <c r="T106" s="575"/>
      <c r="U106" s="575"/>
      <c r="V106" s="575"/>
      <c r="W106" s="575"/>
      <c r="X106" s="575"/>
      <c r="Y106" s="575"/>
      <c r="Z106" s="575"/>
      <c r="AA106" s="575"/>
      <c r="AB106" s="575"/>
      <c r="AC106" s="575"/>
      <c r="AD106" s="575"/>
      <c r="AE106" s="575"/>
      <c r="AF106" s="575"/>
      <c r="AG106" s="575"/>
      <c r="AH106" s="575"/>
      <c r="AI106" s="575"/>
      <c r="AJ106" s="575"/>
      <c r="AK106" s="575"/>
      <c r="AL106" s="575"/>
      <c r="AM106" s="575"/>
      <c r="AN106" s="575"/>
      <c r="AO106" s="575"/>
      <c r="AP106" s="575"/>
      <c r="AQ106" s="575"/>
      <c r="AR106" s="575"/>
      <c r="AS106" s="575"/>
      <c r="AT106" s="575"/>
      <c r="AU106" s="575"/>
      <c r="AV106" s="575"/>
      <c r="AW106" s="575"/>
      <c r="AX106" s="575"/>
      <c r="AY106" s="575"/>
      <c r="AZ106" s="575"/>
      <c r="BA106" s="575"/>
      <c r="BB106" s="575"/>
      <c r="BC106" s="575"/>
      <c r="BD106" s="575"/>
      <c r="BE106" s="575"/>
      <c r="BF106" s="575"/>
      <c r="BG106" s="575"/>
      <c r="BH106" s="575"/>
      <c r="BI106" s="575"/>
      <c r="BJ106" s="575"/>
      <c r="BK106" s="575"/>
      <c r="BL106" s="575"/>
      <c r="BM106" s="575"/>
    </row>
    <row r="107" spans="1:65" s="573" customFormat="1" ht="3.75" customHeight="1" x14ac:dyDescent="0.3">
      <c r="A107" s="575"/>
      <c r="B107" s="575"/>
      <c r="C107" s="575"/>
      <c r="D107" s="575"/>
      <c r="E107" s="575"/>
      <c r="F107" s="575"/>
      <c r="G107" s="575"/>
      <c r="H107" s="575"/>
      <c r="I107" s="575"/>
      <c r="J107" s="575"/>
      <c r="K107" s="575"/>
      <c r="L107" s="575"/>
      <c r="M107" s="575"/>
      <c r="N107" s="575"/>
      <c r="O107" s="575"/>
      <c r="P107" s="575"/>
      <c r="Q107" s="575"/>
      <c r="R107" s="575"/>
      <c r="S107" s="575"/>
      <c r="T107" s="575"/>
      <c r="U107" s="575"/>
      <c r="V107" s="575"/>
      <c r="W107" s="575"/>
      <c r="X107" s="575"/>
      <c r="Y107" s="575"/>
      <c r="Z107" s="575"/>
      <c r="AA107" s="575"/>
      <c r="AB107" s="575"/>
      <c r="AC107" s="575"/>
      <c r="AD107" s="575"/>
      <c r="AE107" s="575"/>
      <c r="AF107" s="575"/>
      <c r="AG107" s="575"/>
      <c r="AH107" s="575"/>
      <c r="AI107" s="575"/>
      <c r="AJ107" s="575"/>
      <c r="AK107" s="575"/>
      <c r="AL107" s="575"/>
      <c r="AM107" s="575"/>
      <c r="AN107" s="575"/>
      <c r="AO107" s="575"/>
      <c r="AP107" s="575"/>
      <c r="AQ107" s="575"/>
      <c r="AR107" s="575"/>
      <c r="AS107" s="575"/>
      <c r="AT107" s="575"/>
      <c r="AU107" s="575"/>
      <c r="AV107" s="575"/>
      <c r="AW107" s="575"/>
      <c r="AX107" s="575"/>
      <c r="AY107" s="575"/>
      <c r="AZ107" s="575"/>
      <c r="BA107" s="575"/>
      <c r="BB107" s="575"/>
      <c r="BC107" s="575"/>
      <c r="BD107" s="575"/>
      <c r="BE107" s="575"/>
      <c r="BF107" s="575"/>
      <c r="BG107" s="575"/>
      <c r="BH107" s="575"/>
      <c r="BI107" s="575"/>
      <c r="BJ107" s="575"/>
      <c r="BK107" s="575"/>
      <c r="BL107" s="575"/>
      <c r="BM107" s="575"/>
    </row>
    <row r="108" spans="1:65" s="573" customFormat="1" ht="3.75" customHeight="1" x14ac:dyDescent="0.3">
      <c r="A108" s="575"/>
      <c r="B108" s="575"/>
      <c r="C108" s="575"/>
      <c r="D108" s="575"/>
      <c r="E108" s="575"/>
      <c r="F108" s="575"/>
      <c r="G108" s="575"/>
      <c r="H108" s="575"/>
      <c r="I108" s="575"/>
      <c r="J108" s="575"/>
      <c r="K108" s="575"/>
      <c r="L108" s="575"/>
      <c r="M108" s="575"/>
      <c r="N108" s="575"/>
      <c r="O108" s="575"/>
      <c r="P108" s="575"/>
      <c r="Q108" s="575"/>
      <c r="R108" s="575"/>
      <c r="S108" s="575"/>
      <c r="T108" s="575"/>
      <c r="U108" s="575"/>
      <c r="V108" s="575"/>
      <c r="W108" s="575"/>
      <c r="X108" s="575"/>
      <c r="Y108" s="575"/>
      <c r="Z108" s="575"/>
      <c r="AA108" s="575"/>
      <c r="AB108" s="575"/>
      <c r="AC108" s="575"/>
      <c r="AD108" s="575"/>
      <c r="AE108" s="575"/>
      <c r="AF108" s="575"/>
      <c r="AG108" s="575"/>
      <c r="AH108" s="575"/>
      <c r="AI108" s="575"/>
      <c r="AJ108" s="575"/>
      <c r="AK108" s="575"/>
      <c r="AL108" s="575"/>
      <c r="AM108" s="575"/>
      <c r="AN108" s="575"/>
      <c r="AO108" s="575"/>
      <c r="AP108" s="575"/>
      <c r="AQ108" s="575"/>
      <c r="AR108" s="575"/>
      <c r="AS108" s="575"/>
      <c r="AT108" s="575"/>
      <c r="AU108" s="575"/>
      <c r="AV108" s="575"/>
      <c r="AW108" s="575"/>
      <c r="AX108" s="575"/>
      <c r="AY108" s="575"/>
      <c r="AZ108" s="575"/>
      <c r="BA108" s="575"/>
      <c r="BB108" s="575"/>
      <c r="BC108" s="575"/>
      <c r="BD108" s="575"/>
      <c r="BE108" s="575"/>
      <c r="BF108" s="575"/>
      <c r="BG108" s="575"/>
      <c r="BH108" s="575"/>
      <c r="BI108" s="575"/>
      <c r="BJ108" s="575"/>
      <c r="BK108" s="575"/>
      <c r="BL108" s="575"/>
      <c r="BM108" s="575"/>
    </row>
    <row r="109" spans="1:65" s="573" customFormat="1" ht="3.75" customHeight="1" x14ac:dyDescent="0.3">
      <c r="A109" s="575"/>
      <c r="B109" s="575"/>
      <c r="C109" s="575"/>
      <c r="D109" s="575"/>
      <c r="E109" s="575"/>
      <c r="F109" s="575"/>
      <c r="G109" s="575"/>
      <c r="H109" s="575"/>
      <c r="I109" s="575"/>
      <c r="J109" s="575"/>
      <c r="K109" s="575"/>
      <c r="L109" s="575"/>
      <c r="M109" s="575"/>
      <c r="N109" s="575"/>
      <c r="O109" s="575"/>
      <c r="P109" s="575"/>
      <c r="Q109" s="575"/>
      <c r="R109" s="575"/>
      <c r="S109" s="575"/>
      <c r="T109" s="575"/>
      <c r="U109" s="575"/>
      <c r="V109" s="575"/>
      <c r="W109" s="575"/>
      <c r="X109" s="575"/>
      <c r="Y109" s="575"/>
      <c r="Z109" s="575"/>
      <c r="AA109" s="575"/>
      <c r="AB109" s="575"/>
      <c r="AC109" s="575"/>
      <c r="AD109" s="575"/>
      <c r="AE109" s="575"/>
      <c r="AF109" s="575"/>
      <c r="AG109" s="575"/>
      <c r="AH109" s="575"/>
      <c r="AI109" s="575"/>
      <c r="AJ109" s="575"/>
      <c r="AK109" s="575"/>
      <c r="AL109" s="575"/>
      <c r="AM109" s="575"/>
      <c r="AN109" s="575"/>
      <c r="AO109" s="575"/>
      <c r="AP109" s="575"/>
      <c r="AQ109" s="575"/>
      <c r="AR109" s="575"/>
      <c r="AS109" s="575"/>
      <c r="AT109" s="575"/>
      <c r="AU109" s="575"/>
      <c r="AV109" s="575"/>
      <c r="AW109" s="575"/>
      <c r="AX109" s="575"/>
      <c r="AY109" s="575"/>
      <c r="AZ109" s="575"/>
      <c r="BA109" s="575"/>
      <c r="BB109" s="575"/>
      <c r="BC109" s="575"/>
      <c r="BD109" s="575"/>
      <c r="BE109" s="575"/>
      <c r="BF109" s="575"/>
      <c r="BG109" s="575"/>
      <c r="BH109" s="575"/>
      <c r="BI109" s="575"/>
      <c r="BJ109" s="575"/>
      <c r="BK109" s="575"/>
      <c r="BL109" s="575"/>
      <c r="BM109" s="575"/>
    </row>
    <row r="110" spans="1:65" s="573" customFormat="1" ht="3.75" customHeight="1" x14ac:dyDescent="0.3">
      <c r="A110" s="575"/>
      <c r="B110" s="575"/>
      <c r="C110" s="575"/>
      <c r="D110" s="575"/>
      <c r="E110" s="575"/>
      <c r="F110" s="575"/>
      <c r="G110" s="575"/>
      <c r="H110" s="575"/>
      <c r="I110" s="575"/>
      <c r="J110" s="575"/>
      <c r="K110" s="575"/>
      <c r="L110" s="575"/>
      <c r="M110" s="575"/>
      <c r="N110" s="575"/>
      <c r="O110" s="575"/>
      <c r="P110" s="575"/>
      <c r="Q110" s="575"/>
      <c r="R110" s="575"/>
      <c r="S110" s="575"/>
      <c r="T110" s="575"/>
      <c r="U110" s="575"/>
      <c r="V110" s="575"/>
      <c r="W110" s="575"/>
      <c r="X110" s="575"/>
      <c r="Y110" s="575"/>
      <c r="Z110" s="575"/>
      <c r="AA110" s="575"/>
      <c r="AB110" s="575"/>
      <c r="AC110" s="575"/>
      <c r="AD110" s="575"/>
      <c r="AE110" s="575"/>
      <c r="AF110" s="575"/>
      <c r="AG110" s="575"/>
      <c r="AH110" s="575"/>
      <c r="AI110" s="575"/>
      <c r="AJ110" s="575"/>
      <c r="AK110" s="575"/>
      <c r="AL110" s="575"/>
      <c r="AM110" s="575"/>
      <c r="AN110" s="575"/>
      <c r="AO110" s="575"/>
      <c r="AP110" s="575"/>
      <c r="AQ110" s="575"/>
      <c r="AR110" s="575"/>
      <c r="AS110" s="575"/>
      <c r="AT110" s="575"/>
      <c r="AU110" s="575"/>
      <c r="AV110" s="575"/>
      <c r="AW110" s="575"/>
      <c r="AX110" s="575"/>
      <c r="AY110" s="575"/>
      <c r="AZ110" s="575"/>
      <c r="BA110" s="575"/>
      <c r="BB110" s="575"/>
      <c r="BC110" s="575"/>
      <c r="BD110" s="575"/>
      <c r="BE110" s="575"/>
      <c r="BF110" s="575"/>
      <c r="BG110" s="575"/>
      <c r="BH110" s="575"/>
      <c r="BI110" s="575"/>
      <c r="BJ110" s="575"/>
      <c r="BK110" s="575"/>
      <c r="BL110" s="575"/>
      <c r="BM110" s="575"/>
    </row>
    <row r="111" spans="1:65" s="573" customFormat="1" ht="3.75" customHeight="1" x14ac:dyDescent="0.3">
      <c r="A111" s="575"/>
      <c r="B111" s="575"/>
      <c r="C111" s="575"/>
      <c r="D111" s="575"/>
      <c r="E111" s="575"/>
      <c r="F111" s="575"/>
      <c r="G111" s="575"/>
      <c r="H111" s="575"/>
      <c r="I111" s="575"/>
      <c r="J111" s="575"/>
      <c r="K111" s="575"/>
      <c r="L111" s="575"/>
      <c r="M111" s="575"/>
      <c r="N111" s="575"/>
      <c r="O111" s="575"/>
      <c r="P111" s="575"/>
      <c r="Q111" s="575"/>
      <c r="R111" s="575"/>
      <c r="S111" s="575"/>
      <c r="T111" s="575"/>
      <c r="U111" s="575"/>
      <c r="V111" s="575"/>
      <c r="W111" s="575"/>
      <c r="X111" s="575"/>
      <c r="Y111" s="575"/>
      <c r="Z111" s="575"/>
      <c r="AA111" s="575"/>
      <c r="AB111" s="575"/>
      <c r="AC111" s="575"/>
      <c r="AD111" s="575"/>
      <c r="AE111" s="575"/>
      <c r="AF111" s="575"/>
      <c r="AG111" s="575"/>
      <c r="AH111" s="575"/>
      <c r="AI111" s="575"/>
      <c r="AJ111" s="575"/>
      <c r="AK111" s="575"/>
      <c r="AL111" s="575"/>
      <c r="AM111" s="575"/>
      <c r="AN111" s="575"/>
      <c r="AO111" s="575"/>
      <c r="AP111" s="575"/>
      <c r="AQ111" s="575"/>
      <c r="AR111" s="575"/>
      <c r="AS111" s="575"/>
      <c r="AT111" s="575"/>
      <c r="AU111" s="575"/>
      <c r="AV111" s="575"/>
      <c r="AW111" s="575"/>
      <c r="AX111" s="575"/>
      <c r="AY111" s="575"/>
      <c r="AZ111" s="575"/>
      <c r="BA111" s="575"/>
      <c r="BB111" s="575"/>
      <c r="BC111" s="575"/>
      <c r="BD111" s="575"/>
      <c r="BE111" s="575"/>
      <c r="BF111" s="575"/>
      <c r="BG111" s="575"/>
      <c r="BH111" s="575"/>
      <c r="BI111" s="575"/>
      <c r="BJ111" s="575"/>
      <c r="BK111" s="575"/>
      <c r="BL111" s="575"/>
      <c r="BM111" s="575"/>
    </row>
    <row r="112" spans="1:65" s="573" customFormat="1" ht="3.75" customHeight="1" x14ac:dyDescent="0.3">
      <c r="A112" s="575"/>
      <c r="B112" s="575"/>
      <c r="C112" s="575"/>
      <c r="D112" s="575"/>
      <c r="E112" s="575"/>
      <c r="F112" s="575"/>
      <c r="G112" s="575"/>
      <c r="H112" s="575"/>
      <c r="I112" s="575"/>
      <c r="J112" s="575"/>
      <c r="K112" s="575"/>
      <c r="L112" s="575"/>
      <c r="M112" s="575"/>
      <c r="N112" s="575"/>
      <c r="O112" s="575"/>
      <c r="P112" s="575"/>
      <c r="Q112" s="575"/>
      <c r="R112" s="575"/>
      <c r="S112" s="575"/>
      <c r="T112" s="575"/>
      <c r="U112" s="575"/>
      <c r="V112" s="575"/>
      <c r="W112" s="575"/>
      <c r="X112" s="575"/>
      <c r="Y112" s="575"/>
      <c r="Z112" s="575"/>
      <c r="AA112" s="575"/>
      <c r="AB112" s="575"/>
      <c r="AC112" s="575"/>
      <c r="AD112" s="575"/>
      <c r="AE112" s="575"/>
      <c r="AF112" s="575"/>
      <c r="AG112" s="575"/>
      <c r="AH112" s="575"/>
      <c r="AI112" s="575"/>
      <c r="AJ112" s="575"/>
      <c r="AK112" s="575"/>
      <c r="AL112" s="575"/>
      <c r="AM112" s="575"/>
      <c r="AN112" s="575"/>
      <c r="AO112" s="575"/>
      <c r="AP112" s="575"/>
      <c r="AQ112" s="575"/>
      <c r="AR112" s="575"/>
      <c r="AS112" s="575"/>
      <c r="AT112" s="575"/>
      <c r="AU112" s="575"/>
      <c r="AV112" s="575"/>
      <c r="AW112" s="575"/>
      <c r="AX112" s="575"/>
      <c r="AY112" s="575"/>
      <c r="AZ112" s="575"/>
      <c r="BA112" s="575"/>
      <c r="BB112" s="575"/>
      <c r="BC112" s="575"/>
      <c r="BD112" s="575"/>
      <c r="BE112" s="575"/>
      <c r="BF112" s="575"/>
      <c r="BG112" s="575"/>
      <c r="BH112" s="575"/>
      <c r="BI112" s="575"/>
      <c r="BJ112" s="575"/>
      <c r="BK112" s="575"/>
      <c r="BL112" s="575"/>
      <c r="BM112" s="575"/>
    </row>
    <row r="113" spans="1:65" s="573" customFormat="1" ht="3.75" customHeight="1" x14ac:dyDescent="0.3">
      <c r="A113" s="575"/>
      <c r="B113" s="575"/>
      <c r="C113" s="575"/>
      <c r="D113" s="575"/>
      <c r="E113" s="575"/>
      <c r="F113" s="575"/>
      <c r="G113" s="575"/>
      <c r="H113" s="575"/>
      <c r="I113" s="575"/>
      <c r="J113" s="575"/>
      <c r="K113" s="575"/>
      <c r="L113" s="575"/>
      <c r="M113" s="575"/>
      <c r="N113" s="575"/>
      <c r="O113" s="575"/>
      <c r="P113" s="575"/>
      <c r="Q113" s="575"/>
      <c r="R113" s="575"/>
      <c r="S113" s="575"/>
      <c r="T113" s="575"/>
      <c r="U113" s="575"/>
      <c r="V113" s="575"/>
      <c r="W113" s="575"/>
      <c r="X113" s="575"/>
      <c r="Y113" s="575"/>
      <c r="Z113" s="575"/>
      <c r="AA113" s="575"/>
      <c r="AB113" s="575"/>
      <c r="AC113" s="575"/>
      <c r="AD113" s="575"/>
      <c r="AE113" s="575"/>
      <c r="AF113" s="575"/>
      <c r="AG113" s="575"/>
      <c r="AH113" s="575"/>
      <c r="AI113" s="575"/>
      <c r="AJ113" s="575"/>
      <c r="AK113" s="575"/>
      <c r="AL113" s="575"/>
      <c r="AM113" s="575"/>
      <c r="AN113" s="575"/>
      <c r="AO113" s="575"/>
      <c r="AP113" s="575"/>
      <c r="AQ113" s="575"/>
      <c r="AR113" s="575"/>
      <c r="AS113" s="575"/>
      <c r="AT113" s="575"/>
      <c r="AU113" s="575"/>
      <c r="AV113" s="575"/>
      <c r="AW113" s="575"/>
      <c r="AX113" s="575"/>
      <c r="AY113" s="575"/>
      <c r="AZ113" s="575"/>
      <c r="BA113" s="575"/>
      <c r="BB113" s="575"/>
      <c r="BC113" s="575"/>
      <c r="BD113" s="575"/>
      <c r="BE113" s="575"/>
      <c r="BF113" s="575"/>
      <c r="BG113" s="575"/>
      <c r="BH113" s="575"/>
      <c r="BI113" s="575"/>
      <c r="BJ113" s="575"/>
      <c r="BK113" s="575"/>
      <c r="BL113" s="575"/>
      <c r="BM113" s="575"/>
    </row>
    <row r="114" spans="1:65" s="573" customFormat="1" ht="3.75" customHeight="1" x14ac:dyDescent="0.3">
      <c r="A114" s="575"/>
      <c r="B114" s="575"/>
      <c r="C114" s="575"/>
      <c r="D114" s="575"/>
      <c r="E114" s="575"/>
      <c r="F114" s="575"/>
      <c r="G114" s="575"/>
      <c r="H114" s="575"/>
      <c r="I114" s="575"/>
      <c r="J114" s="575"/>
      <c r="K114" s="575"/>
      <c r="L114" s="575"/>
      <c r="M114" s="575"/>
      <c r="N114" s="575"/>
      <c r="O114" s="575"/>
      <c r="P114" s="575"/>
      <c r="Q114" s="575"/>
      <c r="R114" s="575"/>
      <c r="S114" s="575"/>
      <c r="T114" s="575"/>
      <c r="U114" s="575"/>
      <c r="V114" s="575"/>
      <c r="W114" s="575"/>
      <c r="X114" s="575"/>
      <c r="Y114" s="575"/>
      <c r="Z114" s="575"/>
      <c r="AA114" s="575"/>
      <c r="AB114" s="575"/>
      <c r="AC114" s="575"/>
      <c r="AD114" s="575"/>
      <c r="AE114" s="575"/>
      <c r="AF114" s="575"/>
      <c r="AG114" s="575"/>
      <c r="AH114" s="575"/>
      <c r="AI114" s="575"/>
      <c r="AJ114" s="575"/>
      <c r="AK114" s="575"/>
      <c r="AL114" s="575"/>
      <c r="AM114" s="575"/>
      <c r="AN114" s="575"/>
      <c r="AO114" s="575"/>
      <c r="AP114" s="575"/>
      <c r="AQ114" s="575"/>
      <c r="AR114" s="575"/>
      <c r="AS114" s="575"/>
      <c r="AT114" s="575"/>
      <c r="AU114" s="575"/>
      <c r="AV114" s="575"/>
      <c r="AW114" s="575"/>
      <c r="AX114" s="575"/>
      <c r="AY114" s="575"/>
      <c r="AZ114" s="575"/>
      <c r="BA114" s="575"/>
      <c r="BB114" s="575"/>
      <c r="BC114" s="575"/>
      <c r="BD114" s="575"/>
      <c r="BE114" s="575"/>
      <c r="BF114" s="575"/>
      <c r="BG114" s="575"/>
      <c r="BH114" s="575"/>
      <c r="BI114" s="575"/>
      <c r="BJ114" s="575"/>
      <c r="BK114" s="575"/>
      <c r="BL114" s="575"/>
      <c r="BM114" s="575"/>
    </row>
    <row r="115" spans="1:65" s="573" customFormat="1" ht="3.75" customHeight="1" x14ac:dyDescent="0.3">
      <c r="A115" s="575"/>
      <c r="B115" s="575"/>
      <c r="C115" s="575"/>
      <c r="D115" s="575"/>
      <c r="E115" s="575"/>
      <c r="F115" s="575"/>
      <c r="G115" s="575"/>
      <c r="H115" s="575"/>
      <c r="I115" s="575"/>
      <c r="J115" s="575"/>
      <c r="K115" s="575"/>
      <c r="L115" s="575"/>
      <c r="M115" s="575"/>
      <c r="N115" s="575"/>
      <c r="O115" s="575"/>
      <c r="P115" s="575"/>
      <c r="Q115" s="575"/>
      <c r="R115" s="575"/>
      <c r="S115" s="575"/>
      <c r="T115" s="575"/>
      <c r="U115" s="575"/>
      <c r="V115" s="575"/>
      <c r="W115" s="575"/>
      <c r="X115" s="575"/>
      <c r="Y115" s="575"/>
      <c r="Z115" s="575"/>
      <c r="AA115" s="575"/>
      <c r="AB115" s="575"/>
      <c r="AC115" s="575"/>
      <c r="AD115" s="575"/>
      <c r="AE115" s="575"/>
      <c r="AF115" s="575"/>
      <c r="AG115" s="575"/>
      <c r="AH115" s="575"/>
      <c r="AI115" s="575"/>
      <c r="AJ115" s="575"/>
      <c r="AK115" s="575"/>
      <c r="AL115" s="575"/>
      <c r="AM115" s="575"/>
      <c r="AN115" s="575"/>
      <c r="AO115" s="575"/>
      <c r="AP115" s="575"/>
      <c r="AQ115" s="575"/>
      <c r="AR115" s="575"/>
      <c r="AS115" s="575"/>
      <c r="AT115" s="575"/>
      <c r="AU115" s="575"/>
      <c r="AV115" s="575"/>
      <c r="AW115" s="575"/>
      <c r="AX115" s="575"/>
      <c r="AY115" s="575"/>
      <c r="AZ115" s="575"/>
      <c r="BA115" s="575"/>
      <c r="BB115" s="575"/>
      <c r="BC115" s="575"/>
      <c r="BD115" s="575"/>
      <c r="BE115" s="575"/>
      <c r="BF115" s="575"/>
      <c r="BG115" s="575"/>
      <c r="BH115" s="575"/>
      <c r="BI115" s="575"/>
      <c r="BJ115" s="575"/>
      <c r="BK115" s="575"/>
      <c r="BL115" s="575"/>
      <c r="BM115" s="575"/>
    </row>
    <row r="116" spans="1:65" s="573" customFormat="1" ht="3.75" customHeight="1" x14ac:dyDescent="0.3">
      <c r="A116" s="575"/>
      <c r="B116" s="575"/>
      <c r="C116" s="575"/>
      <c r="D116" s="575"/>
      <c r="E116" s="575"/>
      <c r="F116" s="575"/>
      <c r="G116" s="575"/>
      <c r="H116" s="575"/>
      <c r="I116" s="575"/>
      <c r="J116" s="575"/>
      <c r="K116" s="575"/>
      <c r="L116" s="575"/>
      <c r="M116" s="575"/>
      <c r="N116" s="575"/>
      <c r="O116" s="575"/>
      <c r="P116" s="575"/>
      <c r="Q116" s="575"/>
      <c r="R116" s="575"/>
      <c r="S116" s="575"/>
      <c r="T116" s="575"/>
      <c r="U116" s="575"/>
      <c r="V116" s="575"/>
      <c r="W116" s="575"/>
      <c r="X116" s="575"/>
      <c r="Y116" s="575"/>
      <c r="Z116" s="575"/>
      <c r="AA116" s="575"/>
      <c r="AB116" s="575"/>
      <c r="AC116" s="575"/>
      <c r="AD116" s="575"/>
      <c r="AE116" s="575"/>
      <c r="AF116" s="575"/>
      <c r="AG116" s="575"/>
      <c r="AH116" s="575"/>
      <c r="AI116" s="575"/>
      <c r="AJ116" s="575"/>
      <c r="AK116" s="575"/>
      <c r="AL116" s="575"/>
      <c r="AM116" s="575"/>
      <c r="AN116" s="575"/>
      <c r="AO116" s="575"/>
      <c r="AP116" s="575"/>
      <c r="AQ116" s="575"/>
      <c r="AR116" s="575"/>
      <c r="AS116" s="575"/>
      <c r="AT116" s="575"/>
      <c r="AU116" s="575"/>
      <c r="AV116" s="575"/>
      <c r="AW116" s="575"/>
      <c r="AX116" s="575"/>
      <c r="AY116" s="575"/>
      <c r="AZ116" s="575"/>
      <c r="BA116" s="575"/>
      <c r="BB116" s="575"/>
      <c r="BC116" s="575"/>
      <c r="BD116" s="575"/>
      <c r="BE116" s="575"/>
      <c r="BF116" s="575"/>
      <c r="BG116" s="575"/>
      <c r="BH116" s="575"/>
      <c r="BI116" s="575"/>
      <c r="BJ116" s="575"/>
      <c r="BK116" s="575"/>
      <c r="BL116" s="575"/>
      <c r="BM116" s="575"/>
    </row>
    <row r="117" spans="1:65" s="573" customFormat="1" ht="3.75" customHeight="1" x14ac:dyDescent="0.3">
      <c r="A117" s="575"/>
      <c r="B117" s="575"/>
      <c r="C117" s="575"/>
      <c r="D117" s="575"/>
      <c r="E117" s="575"/>
      <c r="F117" s="575"/>
      <c r="G117" s="575"/>
      <c r="H117" s="575"/>
      <c r="I117" s="575"/>
      <c r="J117" s="575"/>
      <c r="K117" s="575"/>
      <c r="L117" s="575"/>
      <c r="M117" s="575"/>
      <c r="N117" s="575"/>
      <c r="O117" s="575"/>
      <c r="P117" s="575"/>
      <c r="Q117" s="575"/>
      <c r="R117" s="575"/>
      <c r="S117" s="575"/>
      <c r="T117" s="575"/>
      <c r="U117" s="575"/>
      <c r="V117" s="575"/>
      <c r="W117" s="575"/>
      <c r="X117" s="575"/>
      <c r="Y117" s="575"/>
      <c r="Z117" s="575"/>
      <c r="AA117" s="575"/>
      <c r="AB117" s="575"/>
      <c r="AC117" s="575"/>
      <c r="AD117" s="575"/>
      <c r="AE117" s="575"/>
      <c r="AF117" s="575"/>
      <c r="AG117" s="575"/>
      <c r="AH117" s="575"/>
      <c r="AI117" s="575"/>
      <c r="AJ117" s="575"/>
      <c r="AK117" s="575"/>
      <c r="AL117" s="575"/>
      <c r="AM117" s="575"/>
      <c r="AN117" s="575"/>
      <c r="AO117" s="575"/>
      <c r="AP117" s="575"/>
      <c r="AQ117" s="575"/>
      <c r="AR117" s="575"/>
      <c r="AS117" s="575"/>
      <c r="AT117" s="575"/>
      <c r="AU117" s="575"/>
      <c r="AV117" s="575"/>
      <c r="AW117" s="575"/>
      <c r="AX117" s="575"/>
      <c r="AY117" s="575"/>
      <c r="AZ117" s="575"/>
      <c r="BA117" s="575"/>
      <c r="BB117" s="575"/>
      <c r="BC117" s="575"/>
      <c r="BD117" s="575"/>
      <c r="BE117" s="575"/>
      <c r="BF117" s="575"/>
      <c r="BG117" s="575"/>
      <c r="BH117" s="575"/>
      <c r="BI117" s="575"/>
      <c r="BJ117" s="575"/>
      <c r="BK117" s="575"/>
      <c r="BL117" s="575"/>
      <c r="BM117" s="575"/>
    </row>
    <row r="118" spans="1:65" s="573" customFormat="1" ht="3.75" customHeight="1" x14ac:dyDescent="0.3">
      <c r="A118" s="575"/>
      <c r="B118" s="575"/>
      <c r="C118" s="575"/>
      <c r="D118" s="575"/>
      <c r="E118" s="575"/>
      <c r="F118" s="575"/>
      <c r="G118" s="575"/>
      <c r="H118" s="575"/>
      <c r="I118" s="575"/>
      <c r="J118" s="575"/>
      <c r="K118" s="575"/>
      <c r="L118" s="575"/>
      <c r="M118" s="575"/>
      <c r="N118" s="575"/>
      <c r="O118" s="575"/>
      <c r="P118" s="575"/>
      <c r="Q118" s="575"/>
      <c r="R118" s="575"/>
      <c r="S118" s="575"/>
      <c r="T118" s="575"/>
      <c r="U118" s="575"/>
      <c r="V118" s="575"/>
      <c r="W118" s="575"/>
      <c r="X118" s="575"/>
      <c r="Y118" s="575"/>
      <c r="Z118" s="575"/>
      <c r="AA118" s="575"/>
      <c r="AB118" s="575"/>
      <c r="AC118" s="575"/>
      <c r="AD118" s="575"/>
      <c r="AE118" s="575"/>
      <c r="AF118" s="575"/>
      <c r="AG118" s="575"/>
      <c r="AH118" s="575"/>
      <c r="AI118" s="575"/>
      <c r="AJ118" s="575"/>
      <c r="AK118" s="575"/>
      <c r="AL118" s="575"/>
      <c r="AM118" s="575"/>
      <c r="AN118" s="575"/>
      <c r="AO118" s="575"/>
      <c r="AP118" s="575"/>
      <c r="AQ118" s="575"/>
      <c r="AR118" s="575"/>
      <c r="AS118" s="575"/>
      <c r="AT118" s="575"/>
      <c r="AU118" s="575"/>
      <c r="AV118" s="575"/>
      <c r="AW118" s="575"/>
      <c r="AX118" s="575"/>
      <c r="AY118" s="575"/>
      <c r="AZ118" s="575"/>
      <c r="BA118" s="575"/>
      <c r="BB118" s="575"/>
      <c r="BC118" s="575"/>
      <c r="BD118" s="575"/>
      <c r="BE118" s="575"/>
      <c r="BF118" s="575"/>
      <c r="BG118" s="575"/>
      <c r="BH118" s="575"/>
      <c r="BI118" s="575"/>
      <c r="BJ118" s="575"/>
      <c r="BK118" s="575"/>
      <c r="BL118" s="575"/>
      <c r="BM118" s="575"/>
    </row>
    <row r="119" spans="1:65" s="573" customFormat="1" ht="3.75" customHeight="1" x14ac:dyDescent="0.3">
      <c r="A119" s="575"/>
      <c r="B119" s="575"/>
      <c r="C119" s="575"/>
      <c r="D119" s="575"/>
      <c r="E119" s="575"/>
      <c r="F119" s="575"/>
      <c r="G119" s="575"/>
      <c r="H119" s="575"/>
      <c r="I119" s="575"/>
      <c r="J119" s="575"/>
      <c r="K119" s="575"/>
      <c r="L119" s="575"/>
      <c r="M119" s="575"/>
      <c r="N119" s="575"/>
      <c r="O119" s="575"/>
      <c r="P119" s="575"/>
      <c r="Q119" s="575"/>
      <c r="R119" s="575"/>
      <c r="S119" s="575"/>
      <c r="T119" s="575"/>
      <c r="U119" s="575"/>
      <c r="V119" s="575"/>
      <c r="W119" s="575"/>
      <c r="X119" s="575"/>
      <c r="Y119" s="575"/>
      <c r="Z119" s="575"/>
      <c r="AA119" s="575"/>
      <c r="AB119" s="575"/>
      <c r="AC119" s="575"/>
      <c r="AD119" s="575"/>
      <c r="AE119" s="575"/>
      <c r="AF119" s="575"/>
      <c r="AG119" s="575"/>
      <c r="AH119" s="575"/>
      <c r="AI119" s="575"/>
      <c r="AJ119" s="575"/>
      <c r="AK119" s="575"/>
      <c r="AL119" s="575"/>
      <c r="AM119" s="575"/>
      <c r="AN119" s="575"/>
      <c r="AO119" s="575"/>
      <c r="AP119" s="575"/>
      <c r="AQ119" s="575"/>
      <c r="AR119" s="575"/>
      <c r="AS119" s="575"/>
      <c r="AT119" s="575"/>
      <c r="AU119" s="575"/>
      <c r="AV119" s="575"/>
      <c r="AW119" s="575"/>
      <c r="AX119" s="575"/>
      <c r="AY119" s="575"/>
      <c r="AZ119" s="575"/>
      <c r="BA119" s="575"/>
      <c r="BB119" s="575"/>
      <c r="BC119" s="575"/>
      <c r="BD119" s="575"/>
      <c r="BE119" s="575"/>
      <c r="BF119" s="575"/>
      <c r="BG119" s="575"/>
      <c r="BH119" s="575"/>
      <c r="BI119" s="575"/>
      <c r="BJ119" s="575"/>
      <c r="BK119" s="575"/>
      <c r="BL119" s="575"/>
      <c r="BM119" s="575"/>
    </row>
    <row r="120" spans="1:65" s="573" customFormat="1" ht="3.75" customHeight="1" x14ac:dyDescent="0.3">
      <c r="A120" s="575"/>
      <c r="B120" s="575"/>
      <c r="C120" s="575"/>
      <c r="D120" s="575"/>
      <c r="E120" s="575"/>
      <c r="F120" s="575"/>
      <c r="G120" s="575"/>
      <c r="H120" s="575"/>
      <c r="I120" s="575"/>
      <c r="J120" s="575"/>
      <c r="K120" s="575"/>
      <c r="L120" s="575"/>
      <c r="M120" s="575"/>
      <c r="N120" s="575"/>
      <c r="O120" s="575"/>
      <c r="P120" s="575"/>
      <c r="Q120" s="575"/>
      <c r="R120" s="575"/>
      <c r="S120" s="575"/>
      <c r="T120" s="575"/>
      <c r="U120" s="575"/>
      <c r="V120" s="575"/>
      <c r="W120" s="575"/>
      <c r="X120" s="575"/>
      <c r="Y120" s="575"/>
      <c r="Z120" s="575"/>
      <c r="AA120" s="575"/>
      <c r="AB120" s="575"/>
      <c r="AC120" s="575"/>
      <c r="AD120" s="575"/>
      <c r="AE120" s="575"/>
      <c r="AF120" s="575"/>
      <c r="AG120" s="575"/>
      <c r="AH120" s="575"/>
      <c r="AI120" s="575"/>
      <c r="AJ120" s="575"/>
      <c r="AK120" s="575"/>
      <c r="AL120" s="575"/>
      <c r="AM120" s="575"/>
      <c r="AN120" s="584">
        <f>BTP_CORRIGIDO!V59</f>
        <v>33.35</v>
      </c>
      <c r="AO120" s="585"/>
      <c r="AP120" s="585"/>
      <c r="AQ120" s="575"/>
      <c r="AR120" s="575"/>
      <c r="AS120" s="575"/>
      <c r="AT120" s="575"/>
      <c r="AU120" s="575"/>
      <c r="AV120" s="575"/>
      <c r="AW120" s="575"/>
      <c r="AX120" s="575"/>
      <c r="AY120" s="575"/>
      <c r="AZ120" s="575"/>
      <c r="BA120" s="584">
        <f>BTP_CORRIGIDO!S53</f>
        <v>7.7091549443066469</v>
      </c>
      <c r="BB120" s="585"/>
      <c r="BC120" s="585"/>
      <c r="BD120" s="585"/>
      <c r="BE120" s="575"/>
      <c r="BF120" s="575"/>
      <c r="BG120" s="575"/>
      <c r="BH120" s="575"/>
      <c r="BI120" s="575"/>
      <c r="BJ120" s="575"/>
      <c r="BK120" s="575"/>
      <c r="BL120" s="575"/>
      <c r="BM120" s="575"/>
    </row>
    <row r="121" spans="1:65" s="573" customFormat="1" ht="3.75" customHeight="1" x14ac:dyDescent="0.3">
      <c r="A121" s="575"/>
      <c r="B121" s="575"/>
      <c r="C121" s="575"/>
      <c r="D121" s="575"/>
      <c r="E121" s="575"/>
      <c r="F121" s="575"/>
      <c r="G121" s="575"/>
      <c r="H121" s="575"/>
      <c r="I121" s="575"/>
      <c r="J121" s="575"/>
      <c r="K121" s="575"/>
      <c r="L121" s="575"/>
      <c r="M121" s="575"/>
      <c r="N121" s="575"/>
      <c r="O121" s="575"/>
      <c r="P121" s="575"/>
      <c r="Q121" s="575"/>
      <c r="R121" s="575"/>
      <c r="S121" s="575"/>
      <c r="T121" s="575"/>
      <c r="U121" s="575"/>
      <c r="V121" s="575"/>
      <c r="W121" s="575"/>
      <c r="X121" s="575"/>
      <c r="Y121" s="575"/>
      <c r="Z121" s="575"/>
      <c r="AA121" s="575"/>
      <c r="AB121" s="575"/>
      <c r="AC121" s="575"/>
      <c r="AD121" s="575"/>
      <c r="AE121" s="575"/>
      <c r="AF121" s="575"/>
      <c r="AG121" s="575"/>
      <c r="AH121" s="575"/>
      <c r="AI121" s="575"/>
      <c r="AJ121" s="575"/>
      <c r="AK121" s="575"/>
      <c r="AL121" s="575"/>
      <c r="AM121" s="575"/>
      <c r="AN121" s="585"/>
      <c r="AO121" s="585"/>
      <c r="AP121" s="585"/>
      <c r="AQ121" s="575"/>
      <c r="AR121" s="575"/>
      <c r="AS121" s="575"/>
      <c r="AT121" s="575"/>
      <c r="AU121" s="575"/>
      <c r="AV121" s="575"/>
      <c r="AW121" s="575"/>
      <c r="AX121" s="575"/>
      <c r="AY121" s="575"/>
      <c r="AZ121" s="575"/>
      <c r="BA121" s="585"/>
      <c r="BB121" s="585"/>
      <c r="BC121" s="585"/>
      <c r="BD121" s="585"/>
      <c r="BE121" s="575"/>
      <c r="BF121" s="575"/>
      <c r="BG121" s="575"/>
      <c r="BH121" s="575"/>
      <c r="BI121" s="575"/>
      <c r="BJ121" s="575"/>
      <c r="BK121" s="575"/>
      <c r="BL121" s="575"/>
      <c r="BM121" s="575"/>
    </row>
    <row r="122" spans="1:65" s="573" customFormat="1" ht="3.75" customHeight="1" x14ac:dyDescent="0.3">
      <c r="A122" s="575"/>
      <c r="B122" s="575"/>
      <c r="C122" s="575"/>
      <c r="D122" s="575"/>
      <c r="E122" s="575"/>
      <c r="F122" s="575"/>
      <c r="G122" s="575"/>
      <c r="H122" s="575"/>
      <c r="I122" s="575"/>
      <c r="J122" s="575"/>
      <c r="K122" s="575"/>
      <c r="L122" s="575"/>
      <c r="M122" s="575"/>
      <c r="N122" s="575"/>
      <c r="O122" s="575"/>
      <c r="P122" s="575"/>
      <c r="Q122" s="575"/>
      <c r="R122" s="575"/>
      <c r="S122" s="575"/>
      <c r="T122" s="575"/>
      <c r="U122" s="575"/>
      <c r="V122" s="575"/>
      <c r="W122" s="575"/>
      <c r="X122" s="575"/>
      <c r="Y122" s="575"/>
      <c r="Z122" s="575"/>
      <c r="AA122" s="575"/>
      <c r="AB122" s="575"/>
      <c r="AC122" s="575"/>
      <c r="AD122" s="575"/>
      <c r="AE122" s="575"/>
      <c r="AF122" s="575"/>
      <c r="AG122" s="575"/>
      <c r="AH122" s="575"/>
      <c r="AI122" s="575"/>
      <c r="AJ122" s="575"/>
      <c r="AK122" s="575"/>
      <c r="AL122" s="575"/>
      <c r="AM122" s="575"/>
      <c r="AN122" s="585"/>
      <c r="AO122" s="585"/>
      <c r="AP122" s="585"/>
      <c r="AQ122" s="575"/>
      <c r="AR122" s="575"/>
      <c r="AS122" s="575"/>
      <c r="AT122" s="575"/>
      <c r="AU122" s="575"/>
      <c r="AV122" s="575"/>
      <c r="AW122" s="575"/>
      <c r="AX122" s="575"/>
      <c r="AY122" s="575"/>
      <c r="AZ122" s="575"/>
      <c r="BA122" s="585"/>
      <c r="BB122" s="585"/>
      <c r="BC122" s="585"/>
      <c r="BD122" s="585"/>
      <c r="BE122" s="575"/>
      <c r="BF122" s="575"/>
      <c r="BG122" s="575"/>
      <c r="BH122" s="575"/>
      <c r="BI122" s="575"/>
      <c r="BJ122" s="575"/>
      <c r="BK122" s="575"/>
      <c r="BL122" s="575"/>
      <c r="BM122" s="575"/>
    </row>
    <row r="123" spans="1:65" s="573" customFormat="1" ht="3.75" customHeight="1" x14ac:dyDescent="0.3">
      <c r="A123" s="575"/>
      <c r="B123" s="575"/>
      <c r="C123" s="575"/>
      <c r="D123" s="575"/>
      <c r="E123" s="575"/>
      <c r="F123" s="575"/>
      <c r="G123" s="575"/>
      <c r="H123" s="575"/>
      <c r="I123" s="575"/>
      <c r="J123" s="575"/>
      <c r="K123" s="575"/>
      <c r="L123" s="575"/>
      <c r="M123" s="575"/>
      <c r="N123" s="575"/>
      <c r="O123" s="575"/>
      <c r="P123" s="575"/>
      <c r="Q123" s="575"/>
      <c r="R123" s="575"/>
      <c r="S123" s="575"/>
      <c r="T123" s="575"/>
      <c r="U123" s="575"/>
      <c r="V123" s="575"/>
      <c r="W123" s="575"/>
      <c r="X123" s="575"/>
      <c r="Y123" s="575"/>
      <c r="Z123" s="575"/>
      <c r="AA123" s="575"/>
      <c r="AB123" s="575"/>
      <c r="AC123" s="575"/>
      <c r="AD123" s="575"/>
      <c r="AE123" s="575"/>
      <c r="AF123" s="575"/>
      <c r="AG123" s="575"/>
      <c r="AH123" s="575"/>
      <c r="AI123" s="575"/>
      <c r="AJ123" s="575"/>
      <c r="AK123" s="575"/>
      <c r="AL123" s="575"/>
      <c r="AM123" s="575"/>
      <c r="AN123" s="585"/>
      <c r="AO123" s="585"/>
      <c r="AP123" s="585"/>
      <c r="AQ123" s="575"/>
      <c r="AR123" s="575"/>
      <c r="AS123" s="575"/>
      <c r="AT123" s="575"/>
      <c r="AU123" s="575"/>
      <c r="AV123" s="575"/>
      <c r="AW123" s="575"/>
      <c r="AX123" s="575"/>
      <c r="AY123" s="575"/>
      <c r="AZ123" s="575"/>
      <c r="BA123" s="585"/>
      <c r="BB123" s="585"/>
      <c r="BC123" s="585"/>
      <c r="BD123" s="585"/>
      <c r="BE123" s="575"/>
      <c r="BF123" s="575"/>
      <c r="BG123" s="575"/>
      <c r="BH123" s="575"/>
      <c r="BI123" s="575"/>
      <c r="BJ123" s="575"/>
      <c r="BK123" s="575"/>
      <c r="BL123" s="575"/>
      <c r="BM123" s="575"/>
    </row>
    <row r="124" spans="1:65" s="573" customFormat="1" ht="3.75" customHeight="1" x14ac:dyDescent="0.3">
      <c r="A124" s="575"/>
      <c r="B124" s="575"/>
      <c r="C124" s="576" t="str">
        <f>IF(BTP_CORRIGIDO!Y59&gt;30,"BCS",IF(BTP_CORRIGIDO!L59&gt;1000,"GLC","S"))</f>
        <v>BCS</v>
      </c>
      <c r="D124" s="578"/>
      <c r="E124" s="578"/>
      <c r="F124" s="578"/>
      <c r="G124" s="575"/>
      <c r="H124" s="583" t="str">
        <f>IF(C124="GLC",IF(NOT(ISERROR(PROCURAR("CAP",UPPER(BTP_CORRIGIDO!E8)))),"CAPX CAPX",IF(NOT(ISERROR(PROCURAR("58",BTP_CORRIGIDO!E8))),"P58 P58",IF(NOT(ISERROR(PROCURAR("57",BTP_CORRIGIDO!E8))),"P57 P57","CDA CDA"))),"")</f>
        <v/>
      </c>
      <c r="I124" s="577"/>
      <c r="J124" s="577"/>
      <c r="K124" s="577"/>
      <c r="L124" s="577"/>
      <c r="M124" s="575"/>
      <c r="N124" s="575"/>
      <c r="O124" s="583" t="str">
        <f>IF(BTP_CORRIGIDO!Y59&gt;30,"E",IF(BTP_CORRIGIDO!L59&gt;1000,"G","N"))</f>
        <v>E</v>
      </c>
      <c r="P124" s="577"/>
      <c r="Q124" s="577"/>
      <c r="R124" s="593"/>
      <c r="S124" s="575"/>
      <c r="T124" s="575"/>
      <c r="U124" s="594">
        <f>BTP_CORRIGIDO!M8</f>
        <v>10</v>
      </c>
      <c r="V124" s="579"/>
      <c r="W124" s="579"/>
      <c r="X124" s="575"/>
      <c r="Y124" s="575"/>
      <c r="Z124" s="575"/>
      <c r="AA124" s="575"/>
      <c r="AB124" s="575"/>
      <c r="AC124" s="575"/>
      <c r="AD124" s="575"/>
      <c r="AE124" s="575"/>
      <c r="AF124" s="575"/>
      <c r="AG124" s="575"/>
      <c r="AH124" s="575"/>
      <c r="AI124" s="575"/>
      <c r="AJ124" s="575"/>
      <c r="AK124" s="575"/>
      <c r="AL124" s="575"/>
      <c r="AM124" s="575"/>
      <c r="AN124" s="575"/>
      <c r="AO124" s="575"/>
      <c r="AP124" s="575"/>
      <c r="AQ124" s="575"/>
      <c r="AR124" s="575"/>
      <c r="AS124" s="575"/>
      <c r="AT124" s="575"/>
      <c r="AU124" s="575"/>
      <c r="AV124" s="575"/>
      <c r="AW124" s="575"/>
      <c r="AX124" s="575"/>
      <c r="AY124" s="575"/>
      <c r="AZ124" s="575"/>
      <c r="BA124" s="575"/>
      <c r="BB124" s="575"/>
      <c r="BC124" s="575"/>
      <c r="BD124" s="575"/>
      <c r="BE124" s="575"/>
      <c r="BF124" s="575"/>
      <c r="BG124" s="575"/>
      <c r="BH124" s="575"/>
      <c r="BI124" s="575"/>
      <c r="BJ124" s="575"/>
      <c r="BK124" s="575"/>
      <c r="BL124" s="575"/>
      <c r="BM124" s="575"/>
    </row>
    <row r="125" spans="1:65" s="573" customFormat="1" ht="3.75" customHeight="1" x14ac:dyDescent="0.3">
      <c r="A125" s="575"/>
      <c r="B125" s="575"/>
      <c r="C125" s="578"/>
      <c r="D125" s="578"/>
      <c r="E125" s="578"/>
      <c r="F125" s="578"/>
      <c r="G125" s="575"/>
      <c r="H125" s="577"/>
      <c r="I125" s="577"/>
      <c r="J125" s="577"/>
      <c r="K125" s="577"/>
      <c r="L125" s="577"/>
      <c r="M125" s="575"/>
      <c r="N125" s="593"/>
      <c r="O125" s="577"/>
      <c r="P125" s="577"/>
      <c r="Q125" s="577"/>
      <c r="R125" s="593"/>
      <c r="S125" s="575"/>
      <c r="T125" s="575"/>
      <c r="U125" s="579"/>
      <c r="V125" s="579"/>
      <c r="W125" s="579"/>
      <c r="X125" s="575"/>
      <c r="Y125" s="575"/>
      <c r="Z125" s="575"/>
      <c r="AA125" s="575"/>
      <c r="AB125" s="575"/>
      <c r="AC125" s="575"/>
      <c r="AD125" s="575"/>
      <c r="AE125" s="575"/>
      <c r="AF125" s="575"/>
      <c r="AG125" s="575"/>
      <c r="AH125" s="575"/>
      <c r="AI125" s="575"/>
      <c r="AJ125" s="575"/>
      <c r="AK125" s="575"/>
      <c r="AL125" s="575"/>
      <c r="AM125" s="575"/>
      <c r="AN125" s="575"/>
      <c r="AO125" s="575"/>
      <c r="AP125" s="575"/>
      <c r="AQ125" s="575"/>
      <c r="AR125" s="575"/>
      <c r="AS125" s="575"/>
      <c r="AT125" s="575"/>
      <c r="AU125" s="575"/>
      <c r="AV125" s="575"/>
      <c r="AW125" s="575"/>
      <c r="AX125" s="575"/>
      <c r="AY125" s="575"/>
      <c r="AZ125" s="575"/>
      <c r="BA125" s="575"/>
      <c r="BB125" s="575"/>
      <c r="BC125" s="575"/>
      <c r="BD125" s="575"/>
      <c r="BE125" s="575"/>
      <c r="BF125" s="575"/>
      <c r="BG125" s="575"/>
      <c r="BH125" s="575"/>
      <c r="BI125" s="575"/>
      <c r="BJ125" s="575"/>
      <c r="BK125" s="575"/>
      <c r="BL125" s="575"/>
      <c r="BM125" s="575"/>
    </row>
    <row r="126" spans="1:65" s="573" customFormat="1" ht="3.75" customHeight="1" x14ac:dyDescent="0.3">
      <c r="A126" s="575"/>
      <c r="B126" s="575"/>
      <c r="C126" s="578"/>
      <c r="D126" s="578"/>
      <c r="E126" s="578"/>
      <c r="F126" s="578"/>
      <c r="G126" s="575"/>
      <c r="H126" s="577"/>
      <c r="I126" s="577"/>
      <c r="J126" s="577"/>
      <c r="K126" s="577"/>
      <c r="L126" s="577"/>
      <c r="M126" s="575"/>
      <c r="N126" s="593"/>
      <c r="O126" s="577"/>
      <c r="P126" s="577"/>
      <c r="Q126" s="577"/>
      <c r="R126" s="593"/>
      <c r="S126" s="575"/>
      <c r="T126" s="575"/>
      <c r="U126" s="579"/>
      <c r="V126" s="579"/>
      <c r="W126" s="579"/>
      <c r="X126" s="575"/>
      <c r="Y126" s="575"/>
      <c r="Z126" s="575"/>
      <c r="AA126" s="575"/>
      <c r="AB126" s="575"/>
      <c r="AC126" s="575"/>
      <c r="AD126" s="575"/>
      <c r="AE126" s="575"/>
      <c r="AF126" s="575"/>
      <c r="AG126" s="575"/>
      <c r="AH126" s="575"/>
      <c r="AI126" s="575"/>
      <c r="AJ126" s="575"/>
      <c r="AK126" s="575"/>
      <c r="AL126" s="575"/>
      <c r="AM126" s="575"/>
      <c r="AN126" s="575"/>
      <c r="AO126" s="575"/>
      <c r="AP126" s="575"/>
      <c r="AQ126" s="575"/>
      <c r="AR126" s="575"/>
      <c r="AS126" s="575"/>
      <c r="AT126" s="575"/>
      <c r="AU126" s="575"/>
      <c r="AV126" s="575"/>
      <c r="AW126" s="575"/>
      <c r="AX126" s="575"/>
      <c r="AY126" s="575"/>
      <c r="AZ126" s="575"/>
      <c r="BA126" s="575"/>
      <c r="BB126" s="575"/>
      <c r="BC126" s="575"/>
      <c r="BD126" s="575"/>
      <c r="BE126" s="575"/>
      <c r="BF126" s="575"/>
      <c r="BG126" s="575"/>
      <c r="BH126" s="575"/>
      <c r="BI126" s="575"/>
      <c r="BJ126" s="575"/>
      <c r="BK126" s="575"/>
      <c r="BL126" s="575"/>
      <c r="BM126" s="575"/>
    </row>
    <row r="127" spans="1:65" s="573" customFormat="1" ht="3.75" customHeight="1" x14ac:dyDescent="0.3">
      <c r="A127" s="575"/>
      <c r="B127" s="575"/>
      <c r="C127" s="578"/>
      <c r="D127" s="578"/>
      <c r="E127" s="578"/>
      <c r="F127" s="578"/>
      <c r="G127" s="575"/>
      <c r="H127" s="577"/>
      <c r="I127" s="577"/>
      <c r="J127" s="577"/>
      <c r="K127" s="577"/>
      <c r="L127" s="577"/>
      <c r="M127" s="575"/>
      <c r="N127" s="593"/>
      <c r="O127" s="577"/>
      <c r="P127" s="577"/>
      <c r="Q127" s="577"/>
      <c r="R127" s="593"/>
      <c r="S127" s="575"/>
      <c r="T127" s="575"/>
      <c r="U127" s="579"/>
      <c r="V127" s="579"/>
      <c r="W127" s="579"/>
      <c r="X127" s="575"/>
      <c r="Y127" s="575"/>
      <c r="Z127" s="575"/>
      <c r="AA127" s="575"/>
      <c r="AB127" s="575"/>
      <c r="AC127" s="575"/>
      <c r="AD127" s="595">
        <f>BTP_CORRIGIDO!X59</f>
        <v>26.05</v>
      </c>
      <c r="AE127" s="596"/>
      <c r="AF127" s="596"/>
      <c r="AG127" s="596"/>
      <c r="AH127" s="597"/>
      <c r="AI127" s="575"/>
      <c r="AJ127" s="575"/>
      <c r="AK127" s="575"/>
      <c r="AL127" s="575"/>
      <c r="AM127" s="575"/>
      <c r="AN127" s="584">
        <f>BTP_CORRIGIDO!H53</f>
        <v>72.968312799501476</v>
      </c>
      <c r="AO127" s="585"/>
      <c r="AP127" s="585"/>
      <c r="AQ127" s="575"/>
      <c r="AR127" s="575"/>
      <c r="AS127" s="575"/>
      <c r="AT127" s="575"/>
      <c r="AU127" s="575"/>
      <c r="AV127" s="575"/>
      <c r="AW127" s="575"/>
      <c r="AX127" s="575"/>
      <c r="AY127" s="575"/>
      <c r="AZ127" s="575"/>
      <c r="BA127" s="584">
        <f>BTP_CORRIGIDO!W59</f>
        <v>72.33</v>
      </c>
      <c r="BB127" s="585"/>
      <c r="BC127" s="585"/>
      <c r="BD127" s="585"/>
      <c r="BE127" s="575"/>
      <c r="BF127" s="575"/>
      <c r="BG127" s="575"/>
      <c r="BH127" s="575"/>
      <c r="BI127" s="575"/>
      <c r="BJ127" s="575"/>
      <c r="BK127" s="575"/>
      <c r="BL127" s="575"/>
      <c r="BM127" s="575"/>
    </row>
    <row r="128" spans="1:65" s="573" customFormat="1" ht="3.75" customHeight="1" x14ac:dyDescent="0.3">
      <c r="A128" s="575"/>
      <c r="B128" s="575"/>
      <c r="C128" s="575"/>
      <c r="D128" s="575"/>
      <c r="E128" s="575"/>
      <c r="F128" s="575"/>
      <c r="G128" s="575"/>
      <c r="H128" s="575"/>
      <c r="I128" s="575"/>
      <c r="J128" s="575"/>
      <c r="K128" s="575"/>
      <c r="L128" s="575"/>
      <c r="M128" s="575"/>
      <c r="N128" s="575"/>
      <c r="O128" s="575"/>
      <c r="P128" s="575"/>
      <c r="Q128" s="575"/>
      <c r="R128" s="575"/>
      <c r="S128" s="575"/>
      <c r="T128" s="575"/>
      <c r="U128" s="575"/>
      <c r="V128" s="575"/>
      <c r="W128" s="575"/>
      <c r="X128" s="575"/>
      <c r="Y128" s="575"/>
      <c r="Z128" s="575"/>
      <c r="AA128" s="575"/>
      <c r="AB128" s="575"/>
      <c r="AC128" s="575"/>
      <c r="AD128" s="596"/>
      <c r="AE128" s="596"/>
      <c r="AF128" s="596"/>
      <c r="AG128" s="596"/>
      <c r="AH128" s="597"/>
      <c r="AI128" s="575"/>
      <c r="AJ128" s="575"/>
      <c r="AK128" s="575"/>
      <c r="AL128" s="575"/>
      <c r="AM128" s="575"/>
      <c r="AN128" s="585"/>
      <c r="AO128" s="585"/>
      <c r="AP128" s="585"/>
      <c r="AQ128" s="575"/>
      <c r="AR128" s="575"/>
      <c r="AS128" s="575"/>
      <c r="AT128" s="575"/>
      <c r="AU128" s="575"/>
      <c r="AV128" s="575"/>
      <c r="AW128" s="575"/>
      <c r="AX128" s="575"/>
      <c r="AY128" s="575"/>
      <c r="AZ128" s="575"/>
      <c r="BA128" s="585"/>
      <c r="BB128" s="585"/>
      <c r="BC128" s="585"/>
      <c r="BD128" s="585"/>
      <c r="BE128" s="575"/>
      <c r="BF128" s="575"/>
      <c r="BG128" s="575"/>
      <c r="BH128" s="575"/>
      <c r="BI128" s="575"/>
      <c r="BJ128" s="575"/>
      <c r="BK128" s="575"/>
      <c r="BL128" s="575"/>
      <c r="BM128" s="575"/>
    </row>
    <row r="129" spans="1:65" s="573" customFormat="1" ht="3.75" customHeight="1" x14ac:dyDescent="0.3">
      <c r="A129" s="575"/>
      <c r="B129" s="575"/>
      <c r="C129" s="575"/>
      <c r="D129" s="575"/>
      <c r="E129" s="575"/>
      <c r="F129" s="575"/>
      <c r="G129" s="575"/>
      <c r="H129" s="575"/>
      <c r="I129" s="575"/>
      <c r="J129" s="575"/>
      <c r="K129" s="575"/>
      <c r="L129" s="575"/>
      <c r="M129" s="575"/>
      <c r="N129" s="575"/>
      <c r="O129" s="575"/>
      <c r="P129" s="575"/>
      <c r="Q129" s="575"/>
      <c r="R129" s="575"/>
      <c r="S129" s="575"/>
      <c r="T129" s="575"/>
      <c r="U129" s="575"/>
      <c r="V129" s="575"/>
      <c r="W129" s="575"/>
      <c r="X129" s="575"/>
      <c r="Y129" s="575"/>
      <c r="Z129" s="575"/>
      <c r="AA129" s="575"/>
      <c r="AB129" s="575"/>
      <c r="AC129" s="575"/>
      <c r="AD129" s="596"/>
      <c r="AE129" s="596"/>
      <c r="AF129" s="596"/>
      <c r="AG129" s="596"/>
      <c r="AH129" s="597"/>
      <c r="AI129" s="575"/>
      <c r="AJ129" s="575"/>
      <c r="AK129" s="575"/>
      <c r="AL129" s="575"/>
      <c r="AM129" s="575"/>
      <c r="AN129" s="585"/>
      <c r="AO129" s="585"/>
      <c r="AP129" s="585"/>
      <c r="AQ129" s="575"/>
      <c r="AR129" s="575"/>
      <c r="AS129" s="575"/>
      <c r="AT129" s="575"/>
      <c r="AU129" s="575"/>
      <c r="AV129" s="575"/>
      <c r="AW129" s="575"/>
      <c r="AX129" s="575"/>
      <c r="AY129" s="575"/>
      <c r="AZ129" s="575"/>
      <c r="BA129" s="585"/>
      <c r="BB129" s="585"/>
      <c r="BC129" s="585"/>
      <c r="BD129" s="585"/>
      <c r="BE129" s="575"/>
      <c r="BF129" s="575"/>
      <c r="BG129" s="575"/>
      <c r="BH129" s="575"/>
      <c r="BI129" s="575"/>
      <c r="BJ129" s="575"/>
      <c r="BK129" s="575"/>
      <c r="BL129" s="575"/>
      <c r="BM129" s="575"/>
    </row>
    <row r="130" spans="1:65" s="573" customFormat="1" ht="3.75" customHeight="1" x14ac:dyDescent="0.3">
      <c r="A130" s="575"/>
      <c r="B130" s="575"/>
      <c r="C130" s="575"/>
      <c r="D130" s="575"/>
      <c r="E130" s="575"/>
      <c r="F130" s="575"/>
      <c r="G130" s="575"/>
      <c r="H130" s="575"/>
      <c r="I130" s="575"/>
      <c r="J130" s="575"/>
      <c r="K130" s="575"/>
      <c r="L130" s="575"/>
      <c r="M130" s="575"/>
      <c r="N130" s="575"/>
      <c r="O130" s="575"/>
      <c r="P130" s="575"/>
      <c r="Q130" s="575"/>
      <c r="R130" s="575"/>
      <c r="S130" s="575"/>
      <c r="T130" s="575"/>
      <c r="U130" s="575"/>
      <c r="V130" s="575"/>
      <c r="W130" s="575"/>
      <c r="X130" s="575"/>
      <c r="Y130" s="575"/>
      <c r="Z130" s="575"/>
      <c r="AA130" s="575"/>
      <c r="AB130" s="575"/>
      <c r="AC130" s="575"/>
      <c r="AD130" s="596"/>
      <c r="AE130" s="596"/>
      <c r="AF130" s="596"/>
      <c r="AG130" s="596"/>
      <c r="AH130" s="597"/>
      <c r="AI130" s="575"/>
      <c r="AJ130" s="575"/>
      <c r="AK130" s="575"/>
      <c r="AL130" s="575"/>
      <c r="AM130" s="575"/>
      <c r="AN130" s="585"/>
      <c r="AO130" s="585"/>
      <c r="AP130" s="585"/>
      <c r="AQ130" s="575"/>
      <c r="AR130" s="575"/>
      <c r="AS130" s="575"/>
      <c r="AT130" s="575"/>
      <c r="AU130" s="575"/>
      <c r="AV130" s="575"/>
      <c r="AW130" s="575"/>
      <c r="AX130" s="575"/>
      <c r="AY130" s="575"/>
      <c r="AZ130" s="575"/>
      <c r="BA130" s="585"/>
      <c r="BB130" s="585"/>
      <c r="BC130" s="585"/>
      <c r="BD130" s="585"/>
      <c r="BE130" s="575"/>
      <c r="BF130" s="575"/>
      <c r="BG130" s="575"/>
      <c r="BH130" s="575"/>
      <c r="BI130" s="575"/>
      <c r="BJ130" s="575"/>
      <c r="BK130" s="575"/>
      <c r="BL130" s="575"/>
      <c r="BM130" s="575"/>
    </row>
    <row r="131" spans="1:65" s="573" customFormat="1" ht="3.75" customHeight="1" x14ac:dyDescent="0.3">
      <c r="A131" s="575"/>
      <c r="B131" s="575"/>
      <c r="C131" s="575"/>
      <c r="D131" s="575"/>
      <c r="E131" s="575"/>
      <c r="F131" s="575"/>
      <c r="G131" s="575"/>
      <c r="H131" s="575"/>
      <c r="I131" s="575"/>
      <c r="J131" s="575"/>
      <c r="K131" s="575"/>
      <c r="L131" s="575"/>
      <c r="M131" s="575"/>
      <c r="N131" s="575"/>
      <c r="O131" s="575"/>
      <c r="P131" s="575"/>
      <c r="Q131" s="575"/>
      <c r="R131" s="575"/>
      <c r="S131" s="575"/>
      <c r="T131" s="575"/>
      <c r="U131" s="575"/>
      <c r="V131" s="575"/>
      <c r="W131" s="575"/>
      <c r="X131" s="575"/>
      <c r="Y131" s="575"/>
      <c r="Z131" s="575"/>
      <c r="AA131" s="575"/>
      <c r="AB131" s="575"/>
      <c r="AC131" s="575"/>
      <c r="AD131" s="575"/>
      <c r="AE131" s="575"/>
      <c r="AF131" s="575"/>
      <c r="AG131" s="575"/>
      <c r="AH131" s="575"/>
      <c r="AI131" s="575"/>
      <c r="AJ131" s="575"/>
      <c r="AK131" s="575"/>
      <c r="AL131" s="575"/>
      <c r="AM131" s="575"/>
      <c r="AN131" s="575"/>
      <c r="AO131" s="575"/>
      <c r="AP131" s="575"/>
      <c r="AQ131" s="575"/>
      <c r="AR131" s="575"/>
      <c r="AS131" s="575"/>
      <c r="AT131" s="575"/>
      <c r="AU131" s="575"/>
      <c r="AV131" s="575"/>
      <c r="AW131" s="575"/>
      <c r="AX131" s="575"/>
      <c r="AY131" s="575"/>
      <c r="AZ131" s="575"/>
      <c r="BA131" s="575"/>
      <c r="BB131" s="575"/>
      <c r="BC131" s="575"/>
      <c r="BD131" s="575"/>
      <c r="BE131" s="575"/>
      <c r="BF131" s="575"/>
      <c r="BG131" s="575"/>
      <c r="BH131" s="575"/>
      <c r="BI131" s="575"/>
      <c r="BJ131" s="575"/>
      <c r="BK131" s="575"/>
      <c r="BL131" s="575"/>
      <c r="BM131" s="575"/>
    </row>
    <row r="132" spans="1:65" s="573" customFormat="1" ht="3.75" customHeight="1" x14ac:dyDescent="0.3">
      <c r="A132" s="575"/>
      <c r="B132" s="575"/>
      <c r="C132" s="575"/>
      <c r="D132" s="575"/>
      <c r="E132" s="575"/>
      <c r="F132" s="575"/>
      <c r="G132" s="575"/>
      <c r="H132" s="575"/>
      <c r="I132" s="575"/>
      <c r="J132" s="575"/>
      <c r="K132" s="575"/>
      <c r="L132" s="575"/>
      <c r="M132" s="575"/>
      <c r="N132" s="575"/>
      <c r="O132" s="575"/>
      <c r="P132" s="575"/>
      <c r="Q132" s="575"/>
      <c r="R132" s="575"/>
      <c r="S132" s="575"/>
      <c r="T132" s="575"/>
      <c r="U132" s="575"/>
      <c r="V132" s="575"/>
      <c r="W132" s="575"/>
      <c r="X132" s="575"/>
      <c r="Y132" s="575"/>
      <c r="Z132" s="575"/>
      <c r="AA132" s="575"/>
      <c r="AB132" s="575"/>
      <c r="AC132" s="575"/>
      <c r="AD132" s="575"/>
      <c r="AE132" s="575"/>
      <c r="AF132" s="575"/>
      <c r="AG132" s="575"/>
      <c r="AH132" s="575"/>
      <c r="AI132" s="575"/>
      <c r="AJ132" s="575"/>
      <c r="AK132" s="575"/>
      <c r="AL132" s="575"/>
      <c r="AM132" s="575"/>
      <c r="AN132" s="575"/>
      <c r="AO132" s="575"/>
      <c r="AP132" s="575"/>
      <c r="AQ132" s="575"/>
      <c r="AR132" s="575"/>
      <c r="AS132" s="575"/>
      <c r="AT132" s="575"/>
      <c r="AU132" s="575"/>
      <c r="AV132" s="575"/>
      <c r="AW132" s="575"/>
      <c r="AX132" s="575"/>
      <c r="AY132" s="575"/>
      <c r="AZ132" s="575"/>
      <c r="BA132" s="575"/>
      <c r="BB132" s="575"/>
      <c r="BC132" s="575"/>
      <c r="BD132" s="575"/>
      <c r="BE132" s="575"/>
      <c r="BF132" s="575"/>
      <c r="BG132" s="575"/>
      <c r="BH132" s="575"/>
      <c r="BI132" s="575"/>
      <c r="BJ132" s="575"/>
      <c r="BK132" s="575"/>
      <c r="BL132" s="575"/>
      <c r="BM132" s="575"/>
    </row>
    <row r="133" spans="1:65" s="573" customFormat="1" ht="3.75" customHeight="1" x14ac:dyDescent="0.3">
      <c r="A133" s="575"/>
      <c r="B133" s="575"/>
      <c r="C133" s="575"/>
      <c r="D133" s="575"/>
      <c r="E133" s="575"/>
      <c r="F133" s="575"/>
      <c r="G133" s="575"/>
      <c r="H133" s="575"/>
      <c r="I133" s="575"/>
      <c r="J133" s="575"/>
      <c r="K133" s="575"/>
      <c r="L133" s="575"/>
      <c r="M133" s="575"/>
      <c r="N133" s="575"/>
      <c r="O133" s="575"/>
      <c r="P133" s="575"/>
      <c r="Q133" s="575"/>
      <c r="R133" s="575"/>
      <c r="S133" s="575"/>
      <c r="T133" s="575"/>
      <c r="U133" s="575"/>
      <c r="V133" s="575"/>
      <c r="W133" s="575"/>
      <c r="X133" s="575"/>
      <c r="Y133" s="575"/>
      <c r="Z133" s="575"/>
      <c r="AA133" s="575"/>
      <c r="AB133" s="575"/>
      <c r="AC133" s="575"/>
      <c r="AD133" s="575"/>
      <c r="AE133" s="575"/>
      <c r="AF133" s="575"/>
      <c r="AG133" s="575"/>
      <c r="AH133" s="575"/>
      <c r="AI133" s="575"/>
      <c r="AJ133" s="575"/>
      <c r="AK133" s="575"/>
      <c r="AL133" s="575"/>
      <c r="AM133" s="575"/>
      <c r="AN133" s="575"/>
      <c r="AO133" s="575"/>
      <c r="AP133" s="575"/>
      <c r="AQ133" s="575"/>
      <c r="AR133" s="575"/>
      <c r="AS133" s="575"/>
      <c r="AT133" s="575"/>
      <c r="AU133" s="575"/>
      <c r="AV133" s="575"/>
      <c r="AW133" s="575"/>
      <c r="AX133" s="575"/>
      <c r="AY133" s="575"/>
      <c r="AZ133" s="575"/>
      <c r="BA133" s="575"/>
      <c r="BB133" s="575"/>
      <c r="BC133" s="575"/>
      <c r="BD133" s="575"/>
      <c r="BE133" s="575"/>
      <c r="BF133" s="575"/>
      <c r="BG133" s="575"/>
      <c r="BH133" s="575"/>
      <c r="BI133" s="575"/>
      <c r="BJ133" s="575"/>
      <c r="BK133" s="575"/>
      <c r="BL133" s="575"/>
      <c r="BM133" s="575"/>
    </row>
    <row r="134" spans="1:65" s="573" customFormat="1" ht="3.75" customHeight="1" x14ac:dyDescent="0.3">
      <c r="A134" s="575"/>
      <c r="B134" s="575"/>
      <c r="C134" s="575"/>
      <c r="D134" s="575"/>
      <c r="E134" s="575"/>
      <c r="F134" s="575"/>
      <c r="G134" s="575"/>
      <c r="H134" s="575"/>
      <c r="I134" s="575"/>
      <c r="J134" s="575"/>
      <c r="K134" s="575"/>
      <c r="L134" s="575"/>
      <c r="M134" s="575"/>
      <c r="N134" s="575"/>
      <c r="O134" s="575"/>
      <c r="P134" s="575"/>
      <c r="Q134" s="575"/>
      <c r="R134" s="575"/>
      <c r="S134" s="575"/>
      <c r="T134" s="575"/>
      <c r="U134" s="575"/>
      <c r="V134" s="575"/>
      <c r="W134" s="575"/>
      <c r="X134" s="575"/>
      <c r="Y134" s="575"/>
      <c r="Z134" s="575"/>
      <c r="AA134" s="575"/>
      <c r="AB134" s="575"/>
      <c r="AC134" s="575"/>
      <c r="AD134" s="575"/>
      <c r="AE134" s="575"/>
      <c r="AF134" s="575"/>
      <c r="AG134" s="575"/>
      <c r="AH134" s="575"/>
      <c r="AI134" s="575"/>
      <c r="AJ134" s="575"/>
      <c r="AK134" s="575"/>
      <c r="AL134" s="575"/>
      <c r="AM134" s="575"/>
      <c r="AN134" s="575"/>
      <c r="AO134" s="575"/>
      <c r="AP134" s="575"/>
      <c r="AQ134" s="575"/>
      <c r="AR134" s="575"/>
      <c r="AS134" s="575"/>
      <c r="AT134" s="575"/>
      <c r="AU134" s="575"/>
      <c r="AV134" s="575"/>
      <c r="AW134" s="575"/>
      <c r="AX134" s="575"/>
      <c r="AY134" s="575"/>
      <c r="AZ134" s="575"/>
      <c r="BA134" s="575"/>
      <c r="BB134" s="575"/>
      <c r="BC134" s="575"/>
      <c r="BD134" s="575"/>
      <c r="BE134" s="575"/>
      <c r="BF134" s="575"/>
      <c r="BG134" s="575"/>
      <c r="BH134" s="575"/>
      <c r="BI134" s="575"/>
      <c r="BJ134" s="575"/>
      <c r="BK134" s="575"/>
      <c r="BL134" s="575"/>
      <c r="BM134" s="575"/>
    </row>
    <row r="135" spans="1:65" s="573" customFormat="1" ht="3.75" customHeight="1" x14ac:dyDescent="0.3">
      <c r="A135" s="575"/>
      <c r="B135" s="575"/>
      <c r="C135" s="575"/>
      <c r="D135" s="575"/>
      <c r="E135" s="575"/>
      <c r="F135" s="575"/>
      <c r="G135" s="575"/>
      <c r="H135" s="575"/>
      <c r="I135" s="575"/>
      <c r="J135" s="575"/>
      <c r="K135" s="575"/>
      <c r="L135" s="575"/>
      <c r="M135" s="575"/>
      <c r="N135" s="575"/>
      <c r="O135" s="575"/>
      <c r="P135" s="575"/>
      <c r="Q135" s="575"/>
      <c r="R135" s="575"/>
      <c r="S135" s="575"/>
      <c r="T135" s="575"/>
      <c r="U135" s="575"/>
      <c r="V135" s="575"/>
      <c r="W135" s="575"/>
      <c r="X135" s="575"/>
      <c r="Y135" s="575"/>
      <c r="Z135" s="575"/>
      <c r="AA135" s="575"/>
      <c r="AB135" s="575"/>
      <c r="AC135" s="575"/>
      <c r="AD135" s="575"/>
      <c r="AE135" s="575"/>
      <c r="AF135" s="575"/>
      <c r="AG135" s="575"/>
      <c r="AH135" s="575"/>
      <c r="AI135" s="575"/>
      <c r="AJ135" s="575"/>
      <c r="AK135" s="575"/>
      <c r="AL135" s="575"/>
      <c r="AM135" s="575"/>
      <c r="AN135" s="575"/>
      <c r="AO135" s="575"/>
      <c r="AP135" s="575"/>
      <c r="AQ135" s="575"/>
      <c r="AR135" s="575"/>
      <c r="AS135" s="575"/>
      <c r="AT135" s="575"/>
      <c r="AU135" s="575"/>
      <c r="AV135" s="575"/>
      <c r="AW135" s="575"/>
      <c r="AX135" s="575"/>
      <c r="AY135" s="575"/>
      <c r="AZ135" s="575"/>
      <c r="BA135" s="575"/>
      <c r="BB135" s="575"/>
      <c r="BC135" s="575"/>
      <c r="BD135" s="575"/>
      <c r="BE135" s="575"/>
      <c r="BF135" s="575"/>
      <c r="BG135" s="575"/>
      <c r="BH135" s="575"/>
      <c r="BI135" s="575"/>
      <c r="BJ135" s="575"/>
      <c r="BK135" s="575"/>
      <c r="BL135" s="575"/>
      <c r="BM135" s="575"/>
    </row>
    <row r="136" spans="1:65" s="573" customFormat="1" ht="3.75" customHeight="1" x14ac:dyDescent="0.3">
      <c r="A136" s="575"/>
      <c r="B136" s="575"/>
      <c r="C136" s="575"/>
      <c r="D136" s="575"/>
      <c r="E136" s="575"/>
      <c r="F136" s="575"/>
      <c r="G136" s="575"/>
      <c r="H136" s="575"/>
      <c r="I136" s="575"/>
      <c r="J136" s="575"/>
      <c r="K136" s="575"/>
      <c r="L136" s="575"/>
      <c r="M136" s="575"/>
      <c r="N136" s="575"/>
      <c r="O136" s="575"/>
      <c r="P136" s="575"/>
      <c r="Q136" s="575"/>
      <c r="R136" s="575"/>
      <c r="S136" s="575"/>
      <c r="T136" s="575"/>
      <c r="U136" s="575"/>
      <c r="V136" s="575"/>
      <c r="W136" s="575"/>
      <c r="X136" s="575"/>
      <c r="Y136" s="575"/>
      <c r="Z136" s="575"/>
      <c r="AA136" s="575"/>
      <c r="AB136" s="575"/>
      <c r="AC136" s="575"/>
      <c r="AD136" s="575"/>
      <c r="AE136" s="575"/>
      <c r="AF136" s="575"/>
      <c r="AG136" s="575"/>
      <c r="AH136" s="575"/>
      <c r="AI136" s="575"/>
      <c r="AJ136" s="575"/>
      <c r="AK136" s="575"/>
      <c r="AL136" s="575"/>
      <c r="AM136" s="575"/>
      <c r="AN136" s="575"/>
      <c r="AO136" s="575"/>
      <c r="AP136" s="575"/>
      <c r="AQ136" s="575"/>
      <c r="AR136" s="575"/>
      <c r="AS136" s="575"/>
      <c r="AT136" s="575"/>
      <c r="AU136" s="575"/>
      <c r="AV136" s="575"/>
      <c r="AW136" s="575"/>
      <c r="AX136" s="575"/>
      <c r="AY136" s="575"/>
      <c r="AZ136" s="575"/>
      <c r="BA136" s="575"/>
      <c r="BB136" s="575"/>
      <c r="BC136" s="575"/>
      <c r="BD136" s="575"/>
      <c r="BE136" s="575"/>
      <c r="BF136" s="575"/>
      <c r="BG136" s="575"/>
      <c r="BH136" s="575"/>
      <c r="BI136" s="575"/>
      <c r="BJ136" s="575"/>
      <c r="BK136" s="575"/>
      <c r="BL136" s="575"/>
      <c r="BM136" s="575"/>
    </row>
    <row r="137" spans="1:65" s="573" customFormat="1" ht="3.75" customHeight="1" x14ac:dyDescent="0.3">
      <c r="A137" s="575"/>
      <c r="B137" s="575"/>
      <c r="C137" s="575"/>
      <c r="D137" s="575"/>
      <c r="E137" s="575"/>
      <c r="F137" s="575"/>
      <c r="G137" s="575"/>
      <c r="H137" s="575"/>
      <c r="I137" s="575"/>
      <c r="J137" s="575"/>
      <c r="K137" s="575"/>
      <c r="L137" s="575"/>
      <c r="M137" s="575"/>
      <c r="N137" s="575"/>
      <c r="O137" s="575"/>
      <c r="P137" s="575"/>
      <c r="Q137" s="575"/>
      <c r="R137" s="575"/>
      <c r="S137" s="575"/>
      <c r="T137" s="575"/>
      <c r="U137" s="575"/>
      <c r="V137" s="575"/>
      <c r="W137" s="575"/>
      <c r="X137" s="575"/>
      <c r="Y137" s="575"/>
      <c r="Z137" s="575"/>
      <c r="AA137" s="575"/>
      <c r="AB137" s="575"/>
      <c r="AC137" s="575"/>
      <c r="AD137" s="575"/>
      <c r="AE137" s="575"/>
      <c r="AF137" s="575"/>
      <c r="AG137" s="575"/>
      <c r="AH137" s="575"/>
      <c r="AI137" s="575"/>
      <c r="AJ137" s="575"/>
      <c r="AK137" s="575"/>
      <c r="AL137" s="575"/>
      <c r="AM137" s="575"/>
      <c r="AN137" s="575"/>
      <c r="AO137" s="575"/>
      <c r="AP137" s="575"/>
      <c r="AQ137" s="575"/>
      <c r="AR137" s="575"/>
      <c r="AS137" s="575"/>
      <c r="AT137" s="575"/>
      <c r="AU137" s="575"/>
      <c r="AV137" s="575"/>
      <c r="AW137" s="575"/>
      <c r="AX137" s="575"/>
      <c r="AY137" s="575"/>
      <c r="AZ137" s="575"/>
      <c r="BA137" s="575"/>
      <c r="BB137" s="575"/>
      <c r="BC137" s="575"/>
      <c r="BD137" s="575"/>
      <c r="BE137" s="575"/>
      <c r="BF137" s="575"/>
      <c r="BG137" s="575"/>
      <c r="BH137" s="575"/>
      <c r="BI137" s="575"/>
      <c r="BJ137" s="575"/>
      <c r="BK137" s="575"/>
      <c r="BL137" s="575"/>
      <c r="BM137" s="575"/>
    </row>
    <row r="138" spans="1:65" s="573" customFormat="1" ht="3.75" customHeight="1" x14ac:dyDescent="0.3">
      <c r="A138" s="575"/>
      <c r="B138" s="575"/>
      <c r="C138" s="575"/>
      <c r="D138" s="575"/>
      <c r="E138" s="575"/>
      <c r="F138" s="575"/>
      <c r="G138" s="575"/>
      <c r="H138" s="575"/>
      <c r="I138" s="575"/>
      <c r="J138" s="575"/>
      <c r="K138" s="575"/>
      <c r="L138" s="575"/>
      <c r="M138" s="575"/>
      <c r="N138" s="575"/>
      <c r="O138" s="575"/>
      <c r="P138" s="575"/>
      <c r="Q138" s="575"/>
      <c r="R138" s="575"/>
      <c r="S138" s="575"/>
      <c r="T138" s="575"/>
      <c r="U138" s="575"/>
      <c r="V138" s="575"/>
      <c r="W138" s="575"/>
      <c r="X138" s="575"/>
      <c r="Y138" s="575"/>
      <c r="Z138" s="575"/>
      <c r="AA138" s="575"/>
      <c r="AB138" s="575"/>
      <c r="AC138" s="575"/>
      <c r="AD138" s="575"/>
      <c r="AE138" s="575"/>
      <c r="AF138" s="575"/>
      <c r="AG138" s="575"/>
      <c r="AH138" s="575"/>
      <c r="AI138" s="575"/>
      <c r="AJ138" s="575"/>
      <c r="AK138" s="575"/>
      <c r="AL138" s="575"/>
      <c r="AM138" s="575"/>
      <c r="AN138" s="575"/>
      <c r="AO138" s="575"/>
      <c r="AP138" s="575"/>
      <c r="AQ138" s="575"/>
      <c r="AR138" s="575"/>
      <c r="AS138" s="575"/>
      <c r="AT138" s="575"/>
      <c r="AU138" s="575"/>
      <c r="AV138" s="575"/>
      <c r="AW138" s="575"/>
      <c r="AX138" s="575"/>
      <c r="AY138" s="575"/>
      <c r="AZ138" s="575"/>
      <c r="BA138" s="575"/>
      <c r="BB138" s="575"/>
      <c r="BC138" s="575"/>
      <c r="BD138" s="575"/>
      <c r="BE138" s="575"/>
      <c r="BF138" s="575"/>
      <c r="BG138" s="575"/>
      <c r="BH138" s="575"/>
      <c r="BI138" s="575"/>
      <c r="BJ138" s="575"/>
      <c r="BK138" s="575"/>
      <c r="BL138" s="575"/>
      <c r="BM138" s="575"/>
    </row>
    <row r="139" spans="1:65" s="573" customFormat="1" ht="3.75" customHeight="1" x14ac:dyDescent="0.3">
      <c r="A139" s="575"/>
      <c r="B139" s="575"/>
      <c r="C139" s="575"/>
      <c r="D139" s="575"/>
      <c r="E139" s="575"/>
      <c r="F139" s="575"/>
      <c r="G139" s="575"/>
      <c r="H139" s="575"/>
      <c r="I139" s="575"/>
      <c r="J139" s="575"/>
      <c r="K139" s="575"/>
      <c r="L139" s="575"/>
      <c r="M139" s="575"/>
      <c r="N139" s="575"/>
      <c r="O139" s="575"/>
      <c r="P139" s="575"/>
      <c r="Q139" s="575"/>
      <c r="R139" s="575"/>
      <c r="S139" s="575"/>
      <c r="T139" s="575"/>
      <c r="U139" s="575"/>
      <c r="V139" s="575"/>
      <c r="W139" s="575"/>
      <c r="X139" s="575"/>
      <c r="Y139" s="575"/>
      <c r="Z139" s="575"/>
      <c r="AA139" s="575"/>
      <c r="AB139" s="575"/>
      <c r="AC139" s="575"/>
      <c r="AD139" s="575"/>
      <c r="AE139" s="575"/>
      <c r="AF139" s="575"/>
      <c r="AG139" s="575"/>
      <c r="AH139" s="575"/>
      <c r="AI139" s="575"/>
      <c r="AJ139" s="575"/>
      <c r="AK139" s="575"/>
      <c r="AL139" s="575"/>
      <c r="AM139" s="575"/>
      <c r="AN139" s="575"/>
      <c r="AO139" s="575"/>
      <c r="AP139" s="575"/>
      <c r="AQ139" s="575"/>
      <c r="AR139" s="575"/>
      <c r="AS139" s="575"/>
      <c r="AT139" s="575"/>
      <c r="AU139" s="575"/>
      <c r="AV139" s="575"/>
      <c r="AW139" s="575"/>
      <c r="AX139" s="575"/>
      <c r="AY139" s="575"/>
      <c r="AZ139" s="575"/>
      <c r="BA139" s="575"/>
      <c r="BB139" s="575"/>
      <c r="BC139" s="575"/>
      <c r="BD139" s="575"/>
      <c r="BE139" s="575"/>
      <c r="BF139" s="575"/>
      <c r="BG139" s="575"/>
      <c r="BH139" s="575"/>
      <c r="BI139" s="575"/>
      <c r="BJ139" s="575"/>
      <c r="BK139" s="575"/>
      <c r="BL139" s="575"/>
      <c r="BM139" s="575"/>
    </row>
    <row r="140" spans="1:65" s="573" customFormat="1" ht="3.75" customHeight="1" x14ac:dyDescent="0.3">
      <c r="A140" s="575"/>
      <c r="B140" s="575"/>
      <c r="C140" s="575"/>
      <c r="D140" s="575"/>
      <c r="E140" s="575"/>
      <c r="F140" s="575"/>
      <c r="G140" s="575"/>
      <c r="H140" s="575"/>
      <c r="I140" s="575"/>
      <c r="J140" s="575"/>
      <c r="K140" s="575"/>
      <c r="L140" s="575"/>
      <c r="M140" s="575"/>
      <c r="N140" s="575"/>
      <c r="O140" s="575"/>
      <c r="P140" s="575"/>
      <c r="Q140" s="575"/>
      <c r="R140" s="575"/>
      <c r="S140" s="575"/>
      <c r="T140" s="575"/>
      <c r="U140" s="575"/>
      <c r="V140" s="575"/>
      <c r="W140" s="575"/>
      <c r="X140" s="575"/>
      <c r="Y140" s="575"/>
      <c r="Z140" s="575"/>
      <c r="AA140" s="575"/>
      <c r="AB140" s="575"/>
      <c r="AC140" s="575"/>
      <c r="AD140" s="575"/>
      <c r="AE140" s="575"/>
      <c r="AF140" s="575"/>
      <c r="AG140" s="575"/>
      <c r="AH140" s="575"/>
      <c r="AI140" s="575"/>
      <c r="AJ140" s="575"/>
      <c r="AK140" s="575"/>
      <c r="AL140" s="575"/>
      <c r="AM140" s="575"/>
      <c r="AN140" s="575"/>
      <c r="AO140" s="575"/>
      <c r="AP140" s="575"/>
      <c r="AQ140" s="575"/>
      <c r="AR140" s="575"/>
      <c r="AS140" s="575"/>
      <c r="AT140" s="575"/>
      <c r="AU140" s="575"/>
      <c r="AV140" s="575"/>
      <c r="AW140" s="575"/>
      <c r="AX140" s="575"/>
      <c r="AY140" s="575"/>
      <c r="AZ140" s="575"/>
      <c r="BA140" s="575"/>
      <c r="BB140" s="575"/>
      <c r="BC140" s="575"/>
      <c r="BD140" s="575"/>
      <c r="BE140" s="575"/>
      <c r="BF140" s="575"/>
      <c r="BG140" s="575"/>
      <c r="BH140" s="575"/>
      <c r="BI140" s="575"/>
      <c r="BJ140" s="575"/>
      <c r="BK140" s="575"/>
      <c r="BL140" s="575"/>
      <c r="BM140" s="575"/>
    </row>
    <row r="141" spans="1:65" s="573" customFormat="1" ht="3.75" customHeight="1" x14ac:dyDescent="0.3">
      <c r="A141" s="575"/>
      <c r="B141" s="575"/>
      <c r="C141" s="575"/>
      <c r="D141" s="575"/>
      <c r="E141" s="575"/>
      <c r="F141" s="575"/>
      <c r="G141" s="575"/>
      <c r="H141" s="575"/>
      <c r="I141" s="575"/>
      <c r="J141" s="575"/>
      <c r="K141" s="575"/>
      <c r="L141" s="575"/>
      <c r="M141" s="575"/>
      <c r="N141" s="575"/>
      <c r="O141" s="575"/>
      <c r="P141" s="575"/>
      <c r="Q141" s="575"/>
      <c r="R141" s="583" t="s">
        <v>1109</v>
      </c>
      <c r="S141" s="577"/>
      <c r="T141" s="577"/>
      <c r="U141" s="577"/>
      <c r="V141" s="577"/>
      <c r="W141" s="577"/>
      <c r="X141" s="577"/>
      <c r="Y141" s="575"/>
      <c r="Z141" s="575"/>
      <c r="AA141" s="575"/>
      <c r="AB141" s="575"/>
      <c r="AC141" s="575"/>
      <c r="AD141" s="575"/>
      <c r="AE141" s="575"/>
      <c r="AF141" s="584">
        <f>BTP_CORRIGIDO!D53</f>
        <v>228.43941968583414</v>
      </c>
      <c r="AG141" s="585"/>
      <c r="AH141" s="585"/>
      <c r="AI141" s="585"/>
      <c r="AJ141" s="585"/>
      <c r="AK141" s="575"/>
      <c r="AL141" s="575"/>
      <c r="AM141" s="575"/>
      <c r="AN141" s="575"/>
      <c r="AO141" s="575"/>
      <c r="AP141" s="575"/>
      <c r="AQ141" s="575"/>
      <c r="AR141" s="575"/>
      <c r="AS141" s="575"/>
      <c r="AT141" s="575"/>
      <c r="AU141" s="575"/>
      <c r="AV141" s="575"/>
      <c r="AW141" s="575"/>
      <c r="AX141" s="575"/>
      <c r="AY141" s="575"/>
      <c r="AZ141" s="575"/>
      <c r="BA141" s="575"/>
      <c r="BB141" s="575"/>
      <c r="BC141" s="575"/>
      <c r="BD141" s="575"/>
      <c r="BE141" s="575"/>
      <c r="BF141" s="575"/>
      <c r="BG141" s="575"/>
      <c r="BH141" s="575"/>
      <c r="BI141" s="575"/>
      <c r="BJ141" s="575"/>
      <c r="BK141" s="575"/>
      <c r="BL141" s="575"/>
      <c r="BM141" s="575"/>
    </row>
    <row r="142" spans="1:65" s="573" customFormat="1" ht="3.75" customHeight="1" x14ac:dyDescent="0.3">
      <c r="A142" s="575"/>
      <c r="B142" s="575"/>
      <c r="C142" s="575"/>
      <c r="D142" s="575"/>
      <c r="E142" s="575"/>
      <c r="F142" s="575"/>
      <c r="G142" s="575"/>
      <c r="H142" s="575"/>
      <c r="I142" s="575"/>
      <c r="J142" s="575"/>
      <c r="K142" s="575"/>
      <c r="L142" s="575"/>
      <c r="M142" s="575"/>
      <c r="N142" s="575"/>
      <c r="O142" s="575"/>
      <c r="P142" s="575"/>
      <c r="Q142" s="575"/>
      <c r="R142" s="577"/>
      <c r="S142" s="577"/>
      <c r="T142" s="577"/>
      <c r="U142" s="577"/>
      <c r="V142" s="577"/>
      <c r="W142" s="577"/>
      <c r="X142" s="577"/>
      <c r="Y142" s="575"/>
      <c r="Z142" s="575"/>
      <c r="AA142" s="575"/>
      <c r="AB142" s="575"/>
      <c r="AC142" s="575"/>
      <c r="AD142" s="575"/>
      <c r="AE142" s="575"/>
      <c r="AF142" s="585"/>
      <c r="AG142" s="585"/>
      <c r="AH142" s="585"/>
      <c r="AI142" s="585"/>
      <c r="AJ142" s="585"/>
      <c r="AK142" s="575"/>
      <c r="AL142" s="575"/>
      <c r="AM142" s="575"/>
      <c r="AN142" s="575"/>
      <c r="AO142" s="575"/>
      <c r="AP142" s="575"/>
      <c r="AQ142" s="575"/>
      <c r="AR142" s="575"/>
      <c r="AS142" s="575"/>
      <c r="AT142" s="575"/>
      <c r="AU142" s="575"/>
      <c r="AV142" s="575"/>
      <c r="AW142" s="575"/>
      <c r="AX142" s="575"/>
      <c r="AY142" s="575"/>
      <c r="AZ142" s="575"/>
      <c r="BA142" s="575"/>
      <c r="BB142" s="575"/>
      <c r="BC142" s="575"/>
      <c r="BD142" s="575"/>
      <c r="BE142" s="575"/>
      <c r="BF142" s="575"/>
      <c r="BG142" s="575"/>
      <c r="BH142" s="575"/>
      <c r="BI142" s="575"/>
      <c r="BJ142" s="575"/>
      <c r="BK142" s="575"/>
      <c r="BL142" s="575"/>
      <c r="BM142" s="575"/>
    </row>
    <row r="143" spans="1:65" s="573" customFormat="1" ht="3.75" customHeight="1" x14ac:dyDescent="0.3">
      <c r="A143" s="575"/>
      <c r="B143" s="575"/>
      <c r="C143" s="575"/>
      <c r="D143" s="575"/>
      <c r="E143" s="575"/>
      <c r="F143" s="575"/>
      <c r="G143" s="575"/>
      <c r="H143" s="575"/>
      <c r="I143" s="575"/>
      <c r="J143" s="575"/>
      <c r="K143" s="575"/>
      <c r="L143" s="575"/>
      <c r="M143" s="575"/>
      <c r="N143" s="575"/>
      <c r="O143" s="575"/>
      <c r="P143" s="575"/>
      <c r="Q143" s="575"/>
      <c r="R143" s="577"/>
      <c r="S143" s="577"/>
      <c r="T143" s="577"/>
      <c r="U143" s="577"/>
      <c r="V143" s="577"/>
      <c r="W143" s="577"/>
      <c r="X143" s="577"/>
      <c r="Y143" s="575"/>
      <c r="Z143" s="575"/>
      <c r="AA143" s="575"/>
      <c r="AB143" s="575"/>
      <c r="AC143" s="575"/>
      <c r="AD143" s="575"/>
      <c r="AE143" s="575"/>
      <c r="AF143" s="585"/>
      <c r="AG143" s="585"/>
      <c r="AH143" s="585"/>
      <c r="AI143" s="585"/>
      <c r="AJ143" s="585"/>
      <c r="AK143" s="575"/>
      <c r="AL143" s="575"/>
      <c r="AM143" s="575"/>
      <c r="AN143" s="575"/>
      <c r="AO143" s="575"/>
      <c r="AP143" s="575"/>
      <c r="AQ143" s="575"/>
      <c r="AR143" s="575"/>
      <c r="AS143" s="575"/>
      <c r="AT143" s="575"/>
      <c r="AU143" s="575"/>
      <c r="AV143" s="575"/>
      <c r="AW143" s="575"/>
      <c r="AX143" s="575"/>
      <c r="AY143" s="575"/>
      <c r="AZ143" s="575"/>
      <c r="BA143" s="575"/>
      <c r="BB143" s="575"/>
      <c r="BC143" s="575"/>
      <c r="BD143" s="575"/>
      <c r="BE143" s="575"/>
      <c r="BF143" s="575"/>
      <c r="BG143" s="575"/>
      <c r="BH143" s="575"/>
      <c r="BI143" s="575"/>
      <c r="BJ143" s="575"/>
      <c r="BK143" s="575"/>
      <c r="BL143" s="575"/>
      <c r="BM143" s="575"/>
    </row>
    <row r="144" spans="1:65" s="573" customFormat="1" ht="3.75" customHeight="1" x14ac:dyDescent="0.3">
      <c r="A144" s="575"/>
      <c r="B144" s="575"/>
      <c r="C144" s="575"/>
      <c r="D144" s="575"/>
      <c r="E144" s="575"/>
      <c r="F144" s="575"/>
      <c r="G144" s="575"/>
      <c r="H144" s="575"/>
      <c r="I144" s="575"/>
      <c r="J144" s="575"/>
      <c r="K144" s="575"/>
      <c r="L144" s="575"/>
      <c r="M144" s="575"/>
      <c r="N144" s="575"/>
      <c r="O144" s="575"/>
      <c r="P144" s="575"/>
      <c r="Q144" s="575"/>
      <c r="R144" s="577"/>
      <c r="S144" s="577"/>
      <c r="T144" s="577"/>
      <c r="U144" s="577"/>
      <c r="V144" s="577"/>
      <c r="W144" s="577"/>
      <c r="X144" s="577"/>
      <c r="Y144" s="575"/>
      <c r="Z144" s="575"/>
      <c r="AA144" s="575"/>
      <c r="AB144" s="575"/>
      <c r="AC144" s="575"/>
      <c r="AD144" s="575"/>
      <c r="AE144" s="575"/>
      <c r="AF144" s="585"/>
      <c r="AG144" s="585"/>
      <c r="AH144" s="585"/>
      <c r="AI144" s="585"/>
      <c r="AJ144" s="585"/>
      <c r="AK144" s="575"/>
      <c r="AL144" s="575"/>
      <c r="AM144" s="575"/>
      <c r="AN144" s="575"/>
      <c r="AO144" s="575"/>
      <c r="AP144" s="575"/>
      <c r="AQ144" s="575"/>
      <c r="AR144" s="575"/>
      <c r="AS144" s="575"/>
      <c r="AT144" s="575"/>
      <c r="AU144" s="575"/>
      <c r="AV144" s="575"/>
      <c r="AW144" s="575"/>
      <c r="AX144" s="575"/>
      <c r="AY144" s="575"/>
      <c r="AZ144" s="575"/>
      <c r="BA144" s="575"/>
      <c r="BB144" s="575"/>
      <c r="BC144" s="575"/>
      <c r="BD144" s="575"/>
      <c r="BE144" s="575"/>
      <c r="BF144" s="575"/>
      <c r="BG144" s="575"/>
      <c r="BH144" s="575"/>
      <c r="BI144" s="575"/>
      <c r="BJ144" s="575"/>
      <c r="BK144" s="575"/>
      <c r="BL144" s="575"/>
      <c r="BM144" s="575"/>
    </row>
    <row r="145" spans="1:65" s="573" customFormat="1" ht="3.75" customHeight="1" x14ac:dyDescent="0.3">
      <c r="A145" s="575"/>
      <c r="B145" s="575"/>
      <c r="C145" s="575"/>
      <c r="D145" s="575"/>
      <c r="E145" s="575"/>
      <c r="F145" s="575"/>
      <c r="G145" s="575"/>
      <c r="H145" s="575"/>
      <c r="I145" s="575"/>
      <c r="J145" s="575"/>
      <c r="K145" s="575"/>
      <c r="L145" s="575"/>
      <c r="M145" s="575"/>
      <c r="N145" s="575"/>
      <c r="O145" s="575"/>
      <c r="P145" s="575"/>
      <c r="Q145" s="575"/>
      <c r="R145" s="575"/>
      <c r="S145" s="575"/>
      <c r="T145" s="575"/>
      <c r="U145" s="575"/>
      <c r="V145" s="575"/>
      <c r="W145" s="575"/>
      <c r="X145" s="575"/>
      <c r="Y145" s="575"/>
      <c r="Z145" s="575"/>
      <c r="AA145" s="575"/>
      <c r="AB145" s="575"/>
      <c r="AC145" s="575"/>
      <c r="AD145" s="575"/>
      <c r="AE145" s="575"/>
      <c r="AF145" s="598"/>
      <c r="AG145" s="598"/>
      <c r="AH145" s="598"/>
      <c r="AI145" s="598"/>
      <c r="AJ145" s="598"/>
      <c r="AK145" s="575"/>
      <c r="AL145" s="575"/>
      <c r="AM145" s="575"/>
      <c r="AN145" s="575"/>
      <c r="AO145" s="575"/>
      <c r="AP145" s="575"/>
      <c r="AQ145" s="575"/>
      <c r="AR145" s="575"/>
      <c r="AS145" s="575"/>
      <c r="AT145" s="575"/>
      <c r="AU145" s="575"/>
      <c r="AV145" s="575"/>
      <c r="AW145" s="575"/>
      <c r="AX145" s="575"/>
      <c r="AY145" s="575"/>
      <c r="AZ145" s="575"/>
      <c r="BA145" s="575"/>
      <c r="BB145" s="575"/>
      <c r="BC145" s="575"/>
      <c r="BD145" s="575"/>
      <c r="BE145" s="575"/>
      <c r="BF145" s="575"/>
      <c r="BG145" s="575"/>
      <c r="BH145" s="575"/>
      <c r="BI145" s="575"/>
      <c r="BJ145" s="575"/>
      <c r="BK145" s="575"/>
      <c r="BL145" s="575"/>
      <c r="BM145" s="575"/>
    </row>
    <row r="146" spans="1:65" s="573" customFormat="1" ht="3.75" customHeight="1" x14ac:dyDescent="0.3">
      <c r="A146" s="575"/>
      <c r="B146" s="575"/>
      <c r="C146" s="575"/>
      <c r="D146" s="575"/>
      <c r="E146" s="575"/>
      <c r="F146" s="575"/>
      <c r="G146" s="575"/>
      <c r="H146" s="575"/>
      <c r="I146" s="575"/>
      <c r="J146" s="575"/>
      <c r="K146" s="575"/>
      <c r="L146" s="575"/>
      <c r="M146" s="575"/>
      <c r="N146" s="575"/>
      <c r="O146" s="575"/>
      <c r="P146" s="575"/>
      <c r="Q146" s="575"/>
      <c r="R146" s="575"/>
      <c r="S146" s="575"/>
      <c r="T146" s="575"/>
      <c r="U146" s="575"/>
      <c r="V146" s="575"/>
      <c r="W146" s="575"/>
      <c r="X146" s="575"/>
      <c r="Y146" s="575"/>
      <c r="Z146" s="575"/>
      <c r="AA146" s="575"/>
      <c r="AB146" s="575"/>
      <c r="AC146" s="575"/>
      <c r="AD146" s="575"/>
      <c r="AE146" s="575"/>
      <c r="AF146" s="598"/>
      <c r="AG146" s="598"/>
      <c r="AH146" s="598"/>
      <c r="AI146" s="598"/>
      <c r="AJ146" s="598"/>
      <c r="AK146" s="575"/>
      <c r="AL146" s="575"/>
      <c r="AM146" s="575"/>
      <c r="AN146" s="575"/>
      <c r="AO146" s="575"/>
      <c r="AP146" s="575"/>
      <c r="AQ146" s="575"/>
      <c r="AR146" s="575"/>
      <c r="AS146" s="575"/>
      <c r="AT146" s="575"/>
      <c r="AU146" s="575"/>
      <c r="AV146" s="575"/>
      <c r="AW146" s="575"/>
      <c r="AX146" s="575"/>
      <c r="AY146" s="575"/>
      <c r="AZ146" s="575"/>
      <c r="BA146" s="575"/>
      <c r="BB146" s="575"/>
      <c r="BC146" s="575"/>
      <c r="BD146" s="575"/>
      <c r="BE146" s="575"/>
      <c r="BF146" s="575"/>
      <c r="BG146" s="575"/>
      <c r="BH146" s="575"/>
      <c r="BI146" s="575"/>
      <c r="BJ146" s="575"/>
      <c r="BK146" s="575"/>
      <c r="BL146" s="575"/>
      <c r="BM146" s="575"/>
    </row>
    <row r="147" spans="1:65" s="573" customFormat="1" ht="3.75" customHeight="1" x14ac:dyDescent="0.3">
      <c r="A147" s="575"/>
      <c r="B147" s="575"/>
      <c r="C147" s="575"/>
      <c r="D147" s="575"/>
      <c r="E147" s="575"/>
      <c r="F147" s="575"/>
      <c r="G147" s="575"/>
      <c r="H147" s="575"/>
      <c r="I147" s="575"/>
      <c r="J147" s="575"/>
      <c r="K147" s="575"/>
      <c r="L147" s="575"/>
      <c r="M147" s="575"/>
      <c r="N147" s="575"/>
      <c r="O147" s="575"/>
      <c r="P147" s="575"/>
      <c r="Q147" s="575"/>
      <c r="R147" s="583" t="s">
        <v>1110</v>
      </c>
      <c r="S147" s="577"/>
      <c r="T147" s="577"/>
      <c r="U147" s="577"/>
      <c r="V147" s="577"/>
      <c r="W147" s="577"/>
      <c r="X147" s="577"/>
      <c r="Y147" s="575"/>
      <c r="Z147" s="575"/>
      <c r="AA147" s="575"/>
      <c r="AB147" s="575"/>
      <c r="AC147" s="575"/>
      <c r="AD147" s="575"/>
      <c r="AE147" s="575"/>
      <c r="AF147" s="584">
        <f>BTP_CORRIGIDO!E53</f>
        <v>77.691876850756358</v>
      </c>
      <c r="AG147" s="585"/>
      <c r="AH147" s="585"/>
      <c r="AI147" s="585"/>
      <c r="AJ147" s="585"/>
      <c r="AK147" s="575"/>
      <c r="AL147" s="575"/>
      <c r="AM147" s="575"/>
      <c r="AN147" s="575"/>
      <c r="AO147" s="575"/>
      <c r="AP147" s="575"/>
      <c r="AQ147" s="575"/>
      <c r="AR147" s="575"/>
      <c r="AS147" s="575"/>
      <c r="AT147" s="575"/>
      <c r="AU147" s="575"/>
      <c r="AV147" s="575"/>
      <c r="AW147" s="575"/>
      <c r="AX147" s="575"/>
      <c r="AY147" s="575"/>
      <c r="AZ147" s="575"/>
      <c r="BA147" s="575"/>
      <c r="BB147" s="575"/>
      <c r="BC147" s="575"/>
      <c r="BD147" s="575"/>
      <c r="BE147" s="575"/>
      <c r="BF147" s="575"/>
      <c r="BG147" s="575"/>
      <c r="BH147" s="575"/>
      <c r="BI147" s="575"/>
      <c r="BJ147" s="575"/>
      <c r="BK147" s="575"/>
      <c r="BL147" s="575"/>
      <c r="BM147" s="575"/>
    </row>
    <row r="148" spans="1:65" s="573" customFormat="1" ht="3.75" customHeight="1" x14ac:dyDescent="0.3">
      <c r="A148" s="575"/>
      <c r="B148" s="575"/>
      <c r="C148" s="575"/>
      <c r="D148" s="575"/>
      <c r="E148" s="575"/>
      <c r="F148" s="575"/>
      <c r="G148" s="575"/>
      <c r="H148" s="575"/>
      <c r="I148" s="575"/>
      <c r="J148" s="575"/>
      <c r="K148" s="575"/>
      <c r="L148" s="575"/>
      <c r="M148" s="575"/>
      <c r="N148" s="575"/>
      <c r="O148" s="575"/>
      <c r="P148" s="575"/>
      <c r="Q148" s="575"/>
      <c r="R148" s="577"/>
      <c r="S148" s="577"/>
      <c r="T148" s="577"/>
      <c r="U148" s="577"/>
      <c r="V148" s="577"/>
      <c r="W148" s="577"/>
      <c r="X148" s="577"/>
      <c r="Y148" s="575"/>
      <c r="Z148" s="575"/>
      <c r="AA148" s="575"/>
      <c r="AB148" s="575"/>
      <c r="AC148" s="575"/>
      <c r="AD148" s="575"/>
      <c r="AE148" s="575"/>
      <c r="AF148" s="585"/>
      <c r="AG148" s="585"/>
      <c r="AH148" s="585"/>
      <c r="AI148" s="585"/>
      <c r="AJ148" s="585"/>
      <c r="AK148" s="575"/>
      <c r="AL148" s="575"/>
      <c r="AM148" s="575"/>
      <c r="AN148" s="575"/>
      <c r="AO148" s="575"/>
      <c r="AP148" s="575"/>
      <c r="AQ148" s="575"/>
      <c r="AR148" s="575"/>
      <c r="AS148" s="575"/>
      <c r="AT148" s="575"/>
      <c r="AU148" s="575"/>
      <c r="AV148" s="575"/>
      <c r="AW148" s="575"/>
      <c r="AX148" s="575"/>
      <c r="AY148" s="575"/>
      <c r="AZ148" s="575"/>
      <c r="BA148" s="575"/>
      <c r="BB148" s="575"/>
      <c r="BC148" s="575"/>
      <c r="BD148" s="575"/>
      <c r="BE148" s="575"/>
      <c r="BF148" s="575"/>
      <c r="BG148" s="575"/>
      <c r="BH148" s="575"/>
      <c r="BI148" s="575"/>
      <c r="BJ148" s="575"/>
      <c r="BK148" s="575"/>
      <c r="BL148" s="575"/>
      <c r="BM148" s="575"/>
    </row>
    <row r="149" spans="1:65" s="573" customFormat="1" ht="3.75" customHeight="1" x14ac:dyDescent="0.3">
      <c r="A149" s="575"/>
      <c r="B149" s="575"/>
      <c r="C149" s="575"/>
      <c r="D149" s="575"/>
      <c r="E149" s="575"/>
      <c r="F149" s="575"/>
      <c r="G149" s="575"/>
      <c r="H149" s="575"/>
      <c r="I149" s="575"/>
      <c r="J149" s="575"/>
      <c r="K149" s="575"/>
      <c r="L149" s="575"/>
      <c r="M149" s="575"/>
      <c r="N149" s="575"/>
      <c r="O149" s="575"/>
      <c r="P149" s="575"/>
      <c r="Q149" s="575"/>
      <c r="R149" s="577"/>
      <c r="S149" s="577"/>
      <c r="T149" s="577"/>
      <c r="U149" s="577"/>
      <c r="V149" s="577"/>
      <c r="W149" s="577"/>
      <c r="X149" s="577"/>
      <c r="Y149" s="575"/>
      <c r="Z149" s="575"/>
      <c r="AA149" s="575"/>
      <c r="AB149" s="575"/>
      <c r="AC149" s="575"/>
      <c r="AD149" s="575"/>
      <c r="AE149" s="575"/>
      <c r="AF149" s="585"/>
      <c r="AG149" s="585"/>
      <c r="AH149" s="585"/>
      <c r="AI149" s="585"/>
      <c r="AJ149" s="585"/>
      <c r="AK149" s="575"/>
      <c r="AL149" s="575"/>
      <c r="AM149" s="575"/>
      <c r="AN149" s="575"/>
      <c r="AO149" s="575"/>
      <c r="AP149" s="575"/>
      <c r="AQ149" s="575"/>
      <c r="AR149" s="575"/>
      <c r="AS149" s="575"/>
      <c r="AT149" s="575"/>
      <c r="AU149" s="575"/>
      <c r="AV149" s="575"/>
      <c r="AW149" s="575"/>
      <c r="AX149" s="575"/>
      <c r="AY149" s="575"/>
      <c r="AZ149" s="575"/>
      <c r="BA149" s="575"/>
      <c r="BB149" s="575"/>
      <c r="BC149" s="575"/>
      <c r="BD149" s="575"/>
      <c r="BE149" s="575"/>
      <c r="BF149" s="575"/>
      <c r="BG149" s="575"/>
      <c r="BH149" s="575"/>
      <c r="BI149" s="575"/>
      <c r="BJ149" s="575"/>
      <c r="BK149" s="575"/>
      <c r="BL149" s="575"/>
      <c r="BM149" s="575"/>
    </row>
    <row r="150" spans="1:65" s="573" customFormat="1" ht="3.75" customHeight="1" x14ac:dyDescent="0.3">
      <c r="A150" s="575"/>
      <c r="B150" s="575"/>
      <c r="C150" s="575"/>
      <c r="D150" s="575"/>
      <c r="E150" s="575"/>
      <c r="F150" s="575"/>
      <c r="G150" s="575"/>
      <c r="H150" s="575"/>
      <c r="I150" s="575"/>
      <c r="J150" s="575"/>
      <c r="K150" s="575"/>
      <c r="L150" s="575"/>
      <c r="M150" s="575"/>
      <c r="N150" s="575"/>
      <c r="O150" s="575"/>
      <c r="P150" s="575"/>
      <c r="Q150" s="575"/>
      <c r="R150" s="577"/>
      <c r="S150" s="577"/>
      <c r="T150" s="577"/>
      <c r="U150" s="577"/>
      <c r="V150" s="577"/>
      <c r="W150" s="577"/>
      <c r="X150" s="577"/>
      <c r="Y150" s="575"/>
      <c r="Z150" s="575"/>
      <c r="AA150" s="575"/>
      <c r="AB150" s="575"/>
      <c r="AC150" s="575"/>
      <c r="AD150" s="575"/>
      <c r="AE150" s="575"/>
      <c r="AF150" s="585"/>
      <c r="AG150" s="585"/>
      <c r="AH150" s="585"/>
      <c r="AI150" s="585"/>
      <c r="AJ150" s="585"/>
      <c r="AK150" s="575"/>
      <c r="AL150" s="575"/>
      <c r="AM150" s="575"/>
      <c r="AN150" s="575"/>
      <c r="AO150" s="575"/>
      <c r="AP150" s="575"/>
      <c r="AQ150" s="575"/>
      <c r="AR150" s="575"/>
      <c r="AS150" s="575"/>
      <c r="AT150" s="575"/>
      <c r="AU150" s="575"/>
      <c r="AV150" s="575"/>
      <c r="AW150" s="575"/>
      <c r="AX150" s="575"/>
      <c r="AY150" s="575"/>
      <c r="AZ150" s="575"/>
      <c r="BA150" s="575"/>
      <c r="BB150" s="575"/>
      <c r="BC150" s="575"/>
      <c r="BD150" s="575"/>
      <c r="BE150" s="575"/>
      <c r="BF150" s="575"/>
      <c r="BG150" s="575"/>
      <c r="BH150" s="575"/>
      <c r="BI150" s="575"/>
      <c r="BJ150" s="575"/>
      <c r="BK150" s="575"/>
      <c r="BL150" s="575"/>
      <c r="BM150" s="575"/>
    </row>
    <row r="151" spans="1:65" s="573" customFormat="1" ht="3.75" customHeight="1" x14ac:dyDescent="0.3">
      <c r="A151" s="575"/>
      <c r="B151" s="575"/>
      <c r="C151" s="575"/>
      <c r="D151" s="575"/>
      <c r="E151" s="575"/>
      <c r="F151" s="575"/>
      <c r="G151" s="575"/>
      <c r="H151" s="575"/>
      <c r="I151" s="575"/>
      <c r="J151" s="575"/>
      <c r="K151" s="575"/>
      <c r="L151" s="575"/>
      <c r="M151" s="575"/>
      <c r="N151" s="575"/>
      <c r="O151" s="575"/>
      <c r="P151" s="575"/>
      <c r="Q151" s="575"/>
      <c r="R151" s="575"/>
      <c r="S151" s="575"/>
      <c r="T151" s="575"/>
      <c r="U151" s="575"/>
      <c r="V151" s="575"/>
      <c r="W151" s="575"/>
      <c r="X151" s="575"/>
      <c r="Y151" s="575"/>
      <c r="Z151" s="575"/>
      <c r="AA151" s="575"/>
      <c r="AB151" s="575"/>
      <c r="AC151" s="575"/>
      <c r="AD151" s="575"/>
      <c r="AE151" s="575"/>
      <c r="AF151" s="598"/>
      <c r="AG151" s="598"/>
      <c r="AH151" s="598"/>
      <c r="AI151" s="598"/>
      <c r="AJ151" s="598"/>
      <c r="AK151" s="575"/>
      <c r="AL151" s="575"/>
      <c r="AM151" s="575"/>
      <c r="AN151" s="575"/>
      <c r="AO151" s="575"/>
      <c r="AP151" s="575"/>
      <c r="AQ151" s="575"/>
      <c r="AR151" s="575"/>
      <c r="AS151" s="575"/>
      <c r="AT151" s="575"/>
      <c r="AU151" s="575"/>
      <c r="AV151" s="575"/>
      <c r="AW151" s="575"/>
      <c r="AX151" s="575"/>
      <c r="AY151" s="575"/>
      <c r="AZ151" s="575"/>
      <c r="BA151" s="575"/>
      <c r="BB151" s="575"/>
      <c r="BC151" s="575"/>
      <c r="BD151" s="575"/>
      <c r="BE151" s="575"/>
      <c r="BF151" s="575"/>
      <c r="BG151" s="575"/>
      <c r="BH151" s="575"/>
      <c r="BI151" s="575"/>
      <c r="BJ151" s="575"/>
      <c r="BK151" s="575"/>
      <c r="BL151" s="575"/>
      <c r="BM151" s="575"/>
    </row>
    <row r="152" spans="1:65" s="573" customFormat="1" ht="3.75" customHeight="1" x14ac:dyDescent="0.3">
      <c r="A152" s="575"/>
      <c r="B152" s="575"/>
      <c r="C152" s="575"/>
      <c r="D152" s="575"/>
      <c r="E152" s="575"/>
      <c r="F152" s="575"/>
      <c r="G152" s="575"/>
      <c r="H152" s="575"/>
      <c r="I152" s="575"/>
      <c r="J152" s="575"/>
      <c r="K152" s="575"/>
      <c r="L152" s="575"/>
      <c r="M152" s="575"/>
      <c r="N152" s="575"/>
      <c r="O152" s="575"/>
      <c r="P152" s="575"/>
      <c r="Q152" s="575"/>
      <c r="R152" s="575"/>
      <c r="S152" s="575"/>
      <c r="T152" s="575"/>
      <c r="U152" s="575"/>
      <c r="V152" s="575"/>
      <c r="W152" s="575"/>
      <c r="X152" s="575"/>
      <c r="Y152" s="575"/>
      <c r="Z152" s="575"/>
      <c r="AA152" s="575"/>
      <c r="AB152" s="575"/>
      <c r="AC152" s="575"/>
      <c r="AD152" s="575"/>
      <c r="AE152" s="575"/>
      <c r="AF152" s="598"/>
      <c r="AG152" s="598"/>
      <c r="AH152" s="598"/>
      <c r="AI152" s="598"/>
      <c r="AJ152" s="598"/>
      <c r="AK152" s="575"/>
      <c r="AL152" s="575"/>
      <c r="AM152" s="575"/>
      <c r="AN152" s="575"/>
      <c r="AO152" s="575"/>
      <c r="AP152" s="575"/>
      <c r="AQ152" s="575"/>
      <c r="AR152" s="575"/>
      <c r="AS152" s="575"/>
      <c r="AT152" s="575"/>
      <c r="AU152" s="575"/>
      <c r="AV152" s="575"/>
      <c r="AW152" s="575"/>
      <c r="AX152" s="575"/>
      <c r="AY152" s="575"/>
      <c r="AZ152" s="575"/>
      <c r="BA152" s="575"/>
      <c r="BB152" s="575"/>
      <c r="BC152" s="575"/>
      <c r="BD152" s="575"/>
      <c r="BE152" s="575"/>
      <c r="BF152" s="575"/>
      <c r="BG152" s="575"/>
      <c r="BH152" s="575"/>
      <c r="BI152" s="575"/>
      <c r="BJ152" s="575"/>
      <c r="BK152" s="575"/>
      <c r="BL152" s="575"/>
      <c r="BM152" s="575"/>
    </row>
    <row r="153" spans="1:65" s="573" customFormat="1" ht="3.75" customHeight="1" x14ac:dyDescent="0.3">
      <c r="A153" s="575"/>
      <c r="B153" s="575"/>
      <c r="C153" s="575"/>
      <c r="D153" s="575"/>
      <c r="E153" s="575"/>
      <c r="F153" s="575"/>
      <c r="G153" s="575"/>
      <c r="H153" s="575"/>
      <c r="I153" s="575"/>
      <c r="J153" s="575"/>
      <c r="K153" s="575"/>
      <c r="L153" s="575"/>
      <c r="M153" s="575"/>
      <c r="N153" s="575"/>
      <c r="O153" s="575"/>
      <c r="P153" s="575"/>
      <c r="Q153" s="575"/>
      <c r="R153" s="583" t="s">
        <v>1111</v>
      </c>
      <c r="S153" s="577"/>
      <c r="T153" s="577"/>
      <c r="U153" s="577"/>
      <c r="V153" s="577"/>
      <c r="W153" s="577"/>
      <c r="X153" s="577"/>
      <c r="Y153" s="575"/>
      <c r="Z153" s="575"/>
      <c r="AA153" s="575"/>
      <c r="AB153" s="575"/>
      <c r="AC153" s="575"/>
      <c r="AD153" s="575"/>
      <c r="AE153" s="575"/>
      <c r="AF153" s="584">
        <f>BTP_CORRIGIDO!F53</f>
        <v>0</v>
      </c>
      <c r="AG153" s="585"/>
      <c r="AH153" s="585"/>
      <c r="AI153" s="585"/>
      <c r="AJ153" s="585"/>
      <c r="AK153" s="575"/>
      <c r="AL153" s="575"/>
      <c r="AM153" s="575"/>
      <c r="AN153" s="575"/>
      <c r="AO153" s="575"/>
      <c r="AP153" s="575"/>
      <c r="AQ153" s="575"/>
      <c r="AR153" s="575"/>
      <c r="AS153" s="575"/>
      <c r="AT153" s="575"/>
      <c r="AU153" s="575"/>
      <c r="AV153" s="575"/>
      <c r="AW153" s="575"/>
      <c r="AX153" s="575"/>
      <c r="AY153" s="575"/>
      <c r="AZ153" s="575"/>
      <c r="BA153" s="575"/>
      <c r="BB153" s="575"/>
      <c r="BC153" s="575"/>
      <c r="BD153" s="575"/>
      <c r="BE153" s="575"/>
      <c r="BF153" s="575"/>
      <c r="BG153" s="575"/>
      <c r="BH153" s="575"/>
      <c r="BI153" s="575"/>
      <c r="BJ153" s="575"/>
      <c r="BK153" s="575"/>
      <c r="BL153" s="575"/>
      <c r="BM153" s="575"/>
    </row>
    <row r="154" spans="1:65" s="573" customFormat="1" ht="3.75" customHeight="1" x14ac:dyDescent="0.3">
      <c r="A154" s="575"/>
      <c r="B154" s="575"/>
      <c r="C154" s="575"/>
      <c r="D154" s="575"/>
      <c r="E154" s="575"/>
      <c r="F154" s="575"/>
      <c r="G154" s="575"/>
      <c r="H154" s="575"/>
      <c r="I154" s="575"/>
      <c r="J154" s="575"/>
      <c r="K154" s="575"/>
      <c r="L154" s="575"/>
      <c r="M154" s="575"/>
      <c r="N154" s="575"/>
      <c r="O154" s="575"/>
      <c r="P154" s="575"/>
      <c r="Q154" s="575"/>
      <c r="R154" s="577"/>
      <c r="S154" s="577"/>
      <c r="T154" s="577"/>
      <c r="U154" s="577"/>
      <c r="V154" s="577"/>
      <c r="W154" s="577"/>
      <c r="X154" s="577"/>
      <c r="Y154" s="575"/>
      <c r="Z154" s="575"/>
      <c r="AA154" s="575"/>
      <c r="AB154" s="575"/>
      <c r="AC154" s="575"/>
      <c r="AD154" s="575"/>
      <c r="AE154" s="575"/>
      <c r="AF154" s="585"/>
      <c r="AG154" s="585"/>
      <c r="AH154" s="585"/>
      <c r="AI154" s="585"/>
      <c r="AJ154" s="585"/>
      <c r="AK154" s="575"/>
      <c r="AL154" s="575"/>
      <c r="AM154" s="575"/>
      <c r="AN154" s="575"/>
      <c r="AO154" s="575"/>
      <c r="AP154" s="575"/>
      <c r="AQ154" s="575"/>
      <c r="AR154" s="575"/>
      <c r="AS154" s="575"/>
      <c r="AT154" s="575"/>
      <c r="AU154" s="575"/>
      <c r="AV154" s="575"/>
      <c r="AW154" s="575"/>
      <c r="AX154" s="575"/>
      <c r="AY154" s="575"/>
      <c r="AZ154" s="575"/>
      <c r="BA154" s="575"/>
      <c r="BB154" s="575"/>
      <c r="BC154" s="575"/>
      <c r="BD154" s="575"/>
      <c r="BE154" s="575"/>
      <c r="BF154" s="575"/>
      <c r="BG154" s="575"/>
      <c r="BH154" s="575"/>
      <c r="BI154" s="575"/>
      <c r="BJ154" s="575"/>
      <c r="BK154" s="575"/>
      <c r="BL154" s="575"/>
      <c r="BM154" s="575"/>
    </row>
    <row r="155" spans="1:65" s="573" customFormat="1" ht="3.75" customHeight="1" x14ac:dyDescent="0.3">
      <c r="A155" s="575"/>
      <c r="B155" s="575"/>
      <c r="C155" s="575"/>
      <c r="D155" s="575"/>
      <c r="E155" s="575"/>
      <c r="F155" s="575"/>
      <c r="G155" s="575"/>
      <c r="H155" s="575"/>
      <c r="I155" s="575"/>
      <c r="J155" s="575"/>
      <c r="K155" s="575"/>
      <c r="L155" s="575"/>
      <c r="M155" s="575"/>
      <c r="N155" s="575"/>
      <c r="O155" s="575"/>
      <c r="P155" s="575"/>
      <c r="Q155" s="575"/>
      <c r="R155" s="577"/>
      <c r="S155" s="577"/>
      <c r="T155" s="577"/>
      <c r="U155" s="577"/>
      <c r="V155" s="577"/>
      <c r="W155" s="577"/>
      <c r="X155" s="577"/>
      <c r="Y155" s="575"/>
      <c r="Z155" s="575"/>
      <c r="AA155" s="575"/>
      <c r="AB155" s="575"/>
      <c r="AC155" s="575"/>
      <c r="AD155" s="575"/>
      <c r="AE155" s="575"/>
      <c r="AF155" s="585"/>
      <c r="AG155" s="585"/>
      <c r="AH155" s="585"/>
      <c r="AI155" s="585"/>
      <c r="AJ155" s="585"/>
      <c r="AK155" s="575"/>
      <c r="AL155" s="575"/>
      <c r="AM155" s="575"/>
      <c r="AN155" s="575"/>
      <c r="AO155" s="575"/>
      <c r="AP155" s="575"/>
      <c r="AQ155" s="575"/>
      <c r="AR155" s="575"/>
      <c r="AS155" s="575"/>
      <c r="AT155" s="575"/>
      <c r="AU155" s="575"/>
      <c r="AV155" s="575"/>
      <c r="AW155" s="575"/>
      <c r="AX155" s="575"/>
      <c r="AY155" s="575"/>
      <c r="AZ155" s="575"/>
      <c r="BA155" s="575"/>
      <c r="BB155" s="575"/>
      <c r="BC155" s="575"/>
      <c r="BD155" s="575"/>
      <c r="BE155" s="575"/>
      <c r="BF155" s="575"/>
      <c r="BG155" s="575"/>
      <c r="BH155" s="575"/>
      <c r="BI155" s="575"/>
      <c r="BJ155" s="575"/>
      <c r="BK155" s="575"/>
      <c r="BL155" s="575"/>
      <c r="BM155" s="575"/>
    </row>
    <row r="156" spans="1:65" s="573" customFormat="1" ht="3.75" customHeight="1" x14ac:dyDescent="0.3">
      <c r="A156" s="575"/>
      <c r="B156" s="575"/>
      <c r="C156" s="575"/>
      <c r="D156" s="575"/>
      <c r="E156" s="575"/>
      <c r="F156" s="575"/>
      <c r="G156" s="575"/>
      <c r="H156" s="575"/>
      <c r="I156" s="575"/>
      <c r="J156" s="575"/>
      <c r="K156" s="575"/>
      <c r="L156" s="575"/>
      <c r="M156" s="575"/>
      <c r="N156" s="575"/>
      <c r="O156" s="575"/>
      <c r="P156" s="575"/>
      <c r="Q156" s="575"/>
      <c r="R156" s="577"/>
      <c r="S156" s="577"/>
      <c r="T156" s="577"/>
      <c r="U156" s="577"/>
      <c r="V156" s="577"/>
      <c r="W156" s="577"/>
      <c r="X156" s="577"/>
      <c r="Y156" s="575"/>
      <c r="Z156" s="575"/>
      <c r="AA156" s="575"/>
      <c r="AB156" s="575"/>
      <c r="AC156" s="575"/>
      <c r="AD156" s="575"/>
      <c r="AE156" s="575"/>
      <c r="AF156" s="585"/>
      <c r="AG156" s="585"/>
      <c r="AH156" s="585"/>
      <c r="AI156" s="585"/>
      <c r="AJ156" s="585"/>
      <c r="AK156" s="575"/>
      <c r="AL156" s="575"/>
      <c r="AM156" s="575"/>
      <c r="AN156" s="575"/>
      <c r="AO156" s="575"/>
      <c r="AP156" s="575"/>
      <c r="AQ156" s="575"/>
      <c r="AR156" s="575"/>
      <c r="AS156" s="575"/>
      <c r="AT156" s="575"/>
      <c r="AU156" s="575"/>
      <c r="AV156" s="575"/>
      <c r="AW156" s="575"/>
      <c r="AX156" s="575"/>
      <c r="AY156" s="575"/>
      <c r="AZ156" s="575"/>
      <c r="BA156" s="575"/>
      <c r="BB156" s="575"/>
      <c r="BC156" s="575"/>
      <c r="BD156" s="575"/>
      <c r="BE156" s="575"/>
      <c r="BF156" s="575"/>
      <c r="BG156" s="575"/>
      <c r="BH156" s="575"/>
      <c r="BI156" s="575"/>
      <c r="BJ156" s="575"/>
      <c r="BK156" s="575"/>
      <c r="BL156" s="575"/>
      <c r="BM156" s="575"/>
    </row>
    <row r="157" spans="1:65" s="573" customFormat="1" ht="3.75" customHeight="1" x14ac:dyDescent="0.3">
      <c r="A157" s="575"/>
      <c r="B157" s="575"/>
      <c r="C157" s="575"/>
      <c r="D157" s="575"/>
      <c r="E157" s="575"/>
      <c r="F157" s="575"/>
      <c r="G157" s="575"/>
      <c r="H157" s="575"/>
      <c r="I157" s="575"/>
      <c r="J157" s="575"/>
      <c r="K157" s="575"/>
      <c r="L157" s="575"/>
      <c r="M157" s="575"/>
      <c r="N157" s="575"/>
      <c r="O157" s="575"/>
      <c r="P157" s="575"/>
      <c r="Q157" s="575"/>
      <c r="R157" s="575"/>
      <c r="S157" s="575"/>
      <c r="T157" s="575"/>
      <c r="U157" s="575"/>
      <c r="V157" s="575"/>
      <c r="W157" s="575"/>
      <c r="X157" s="575"/>
      <c r="Y157" s="575"/>
      <c r="Z157" s="575"/>
      <c r="AA157" s="575"/>
      <c r="AB157" s="575"/>
      <c r="AC157" s="575"/>
      <c r="AD157" s="575"/>
      <c r="AE157" s="575"/>
      <c r="AF157" s="598"/>
      <c r="AG157" s="598"/>
      <c r="AH157" s="598"/>
      <c r="AI157" s="598"/>
      <c r="AJ157" s="598"/>
      <c r="AK157" s="575"/>
      <c r="AL157" s="575"/>
      <c r="AM157" s="575"/>
      <c r="AN157" s="575"/>
      <c r="AO157" s="575"/>
      <c r="AP157" s="575"/>
      <c r="AQ157" s="575"/>
      <c r="AR157" s="575"/>
      <c r="AS157" s="575"/>
      <c r="AT157" s="575"/>
      <c r="AU157" s="575"/>
      <c r="AV157" s="575"/>
      <c r="AW157" s="575"/>
      <c r="AX157" s="575"/>
      <c r="AY157" s="575"/>
      <c r="AZ157" s="575"/>
      <c r="BA157" s="575"/>
      <c r="BB157" s="575"/>
      <c r="BC157" s="575"/>
      <c r="BD157" s="575"/>
      <c r="BE157" s="575"/>
      <c r="BF157" s="575"/>
      <c r="BG157" s="575"/>
      <c r="BH157" s="575"/>
      <c r="BI157" s="575"/>
      <c r="BJ157" s="575"/>
      <c r="BK157" s="575"/>
      <c r="BL157" s="575"/>
      <c r="BM157" s="575"/>
    </row>
    <row r="158" spans="1:65" s="573" customFormat="1" ht="3.75" customHeight="1" x14ac:dyDescent="0.3">
      <c r="A158" s="575"/>
      <c r="B158" s="575"/>
      <c r="C158" s="575"/>
      <c r="D158" s="575"/>
      <c r="E158" s="575"/>
      <c r="F158" s="575"/>
      <c r="G158" s="575"/>
      <c r="H158" s="575"/>
      <c r="I158" s="575"/>
      <c r="J158" s="575"/>
      <c r="K158" s="575"/>
      <c r="L158" s="575"/>
      <c r="M158" s="575"/>
      <c r="N158" s="575"/>
      <c r="O158" s="575"/>
      <c r="P158" s="575"/>
      <c r="Q158" s="575"/>
      <c r="R158" s="575"/>
      <c r="S158" s="575"/>
      <c r="T158" s="575"/>
      <c r="U158" s="575"/>
      <c r="V158" s="575"/>
      <c r="W158" s="575"/>
      <c r="X158" s="575"/>
      <c r="Y158" s="575"/>
      <c r="Z158" s="575"/>
      <c r="AA158" s="575"/>
      <c r="AB158" s="575"/>
      <c r="AC158" s="575"/>
      <c r="AD158" s="575"/>
      <c r="AE158" s="575"/>
      <c r="AF158" s="598"/>
      <c r="AG158" s="598"/>
      <c r="AH158" s="598"/>
      <c r="AI158" s="598"/>
      <c r="AJ158" s="598"/>
      <c r="AK158" s="575"/>
      <c r="AL158" s="575"/>
      <c r="AM158" s="575"/>
      <c r="AN158" s="575"/>
      <c r="AO158" s="575"/>
      <c r="AP158" s="575"/>
      <c r="AQ158" s="575"/>
      <c r="AR158" s="575"/>
      <c r="AS158" s="575"/>
      <c r="AT158" s="575"/>
      <c r="AU158" s="575"/>
      <c r="AV158" s="575"/>
      <c r="AW158" s="575"/>
      <c r="AX158" s="575"/>
      <c r="AY158" s="575"/>
      <c r="AZ158" s="575"/>
      <c r="BA158" s="575"/>
      <c r="BB158" s="575"/>
      <c r="BC158" s="575"/>
      <c r="BD158" s="575"/>
      <c r="BE158" s="575"/>
      <c r="BF158" s="575"/>
      <c r="BG158" s="575"/>
      <c r="BH158" s="575"/>
      <c r="BI158" s="575"/>
      <c r="BJ158" s="575"/>
      <c r="BK158" s="575"/>
      <c r="BL158" s="575"/>
      <c r="BM158" s="575"/>
    </row>
    <row r="159" spans="1:65" s="573" customFormat="1" ht="3.75" customHeight="1" x14ac:dyDescent="0.3">
      <c r="A159" s="575"/>
      <c r="B159" s="575"/>
      <c r="C159" s="575"/>
      <c r="D159" s="575"/>
      <c r="E159" s="575"/>
      <c r="F159" s="575"/>
      <c r="G159" s="575"/>
      <c r="H159" s="575"/>
      <c r="I159" s="575"/>
      <c r="J159" s="575"/>
      <c r="K159" s="575"/>
      <c r="L159" s="575"/>
      <c r="M159" s="575"/>
      <c r="N159" s="575"/>
      <c r="O159" s="575"/>
      <c r="P159" s="575"/>
      <c r="Q159" s="575"/>
      <c r="R159" s="583" t="s">
        <v>1112</v>
      </c>
      <c r="S159" s="577"/>
      <c r="T159" s="577"/>
      <c r="U159" s="577"/>
      <c r="V159" s="577"/>
      <c r="W159" s="577"/>
      <c r="X159" s="577"/>
      <c r="Y159" s="575"/>
      <c r="Z159" s="575"/>
      <c r="AA159" s="575"/>
      <c r="AB159" s="575"/>
      <c r="AC159" s="575"/>
      <c r="AD159" s="575"/>
      <c r="AE159" s="575"/>
      <c r="AF159" s="584">
        <f>BTP_CORRIGIDO!G53</f>
        <v>75.609107971191406</v>
      </c>
      <c r="AG159" s="585"/>
      <c r="AH159" s="585"/>
      <c r="AI159" s="585"/>
      <c r="AJ159" s="585"/>
      <c r="AK159" s="575"/>
      <c r="AL159" s="575"/>
      <c r="AM159" s="575"/>
      <c r="AN159" s="575"/>
      <c r="AO159" s="575"/>
      <c r="AP159" s="575"/>
      <c r="AQ159" s="575"/>
      <c r="AR159" s="575"/>
      <c r="AS159" s="575"/>
      <c r="AT159" s="575"/>
      <c r="AU159" s="575"/>
      <c r="AV159" s="575"/>
      <c r="AW159" s="575"/>
      <c r="AX159" s="575"/>
      <c r="AY159" s="575"/>
      <c r="AZ159" s="575"/>
      <c r="BA159" s="575"/>
      <c r="BB159" s="575"/>
      <c r="BC159" s="575"/>
      <c r="BD159" s="575"/>
      <c r="BE159" s="575"/>
      <c r="BF159" s="575"/>
      <c r="BG159" s="575"/>
      <c r="BH159" s="575"/>
      <c r="BI159" s="575"/>
      <c r="BJ159" s="575"/>
      <c r="BK159" s="575"/>
      <c r="BL159" s="575"/>
      <c r="BM159" s="575"/>
    </row>
    <row r="160" spans="1:65" s="573" customFormat="1" ht="3.75" customHeight="1" x14ac:dyDescent="0.3">
      <c r="A160" s="575"/>
      <c r="B160" s="575"/>
      <c r="C160" s="575"/>
      <c r="D160" s="575"/>
      <c r="E160" s="575"/>
      <c r="F160" s="575"/>
      <c r="G160" s="575"/>
      <c r="H160" s="575"/>
      <c r="I160" s="575"/>
      <c r="J160" s="575"/>
      <c r="K160" s="575"/>
      <c r="L160" s="575"/>
      <c r="M160" s="575"/>
      <c r="N160" s="575"/>
      <c r="O160" s="575"/>
      <c r="P160" s="575"/>
      <c r="Q160" s="575"/>
      <c r="R160" s="577"/>
      <c r="S160" s="577"/>
      <c r="T160" s="577"/>
      <c r="U160" s="577"/>
      <c r="V160" s="577"/>
      <c r="W160" s="577"/>
      <c r="X160" s="577"/>
      <c r="Y160" s="575"/>
      <c r="Z160" s="575"/>
      <c r="AA160" s="575"/>
      <c r="AB160" s="575"/>
      <c r="AC160" s="575"/>
      <c r="AD160" s="575"/>
      <c r="AE160" s="575"/>
      <c r="AF160" s="585"/>
      <c r="AG160" s="585"/>
      <c r="AH160" s="585"/>
      <c r="AI160" s="585"/>
      <c r="AJ160" s="585"/>
      <c r="AK160" s="575"/>
      <c r="AL160" s="575"/>
      <c r="AM160" s="575"/>
      <c r="AN160" s="575"/>
      <c r="AO160" s="575"/>
      <c r="AP160" s="575"/>
      <c r="AQ160" s="575"/>
      <c r="AR160" s="575"/>
      <c r="AS160" s="575"/>
      <c r="AT160" s="575"/>
      <c r="AU160" s="575"/>
      <c r="AV160" s="575"/>
      <c r="AW160" s="575"/>
      <c r="AX160" s="575"/>
      <c r="AY160" s="575"/>
      <c r="AZ160" s="575"/>
      <c r="BA160" s="575"/>
      <c r="BB160" s="575"/>
      <c r="BC160" s="575"/>
      <c r="BD160" s="575"/>
      <c r="BE160" s="575"/>
      <c r="BF160" s="575"/>
      <c r="BG160" s="575"/>
      <c r="BH160" s="575"/>
      <c r="BI160" s="575"/>
      <c r="BJ160" s="575"/>
      <c r="BK160" s="575"/>
      <c r="BL160" s="575"/>
      <c r="BM160" s="575"/>
    </row>
    <row r="161" spans="1:65" s="573" customFormat="1" ht="3.75" customHeight="1" x14ac:dyDescent="0.3">
      <c r="A161" s="575"/>
      <c r="B161" s="575"/>
      <c r="C161" s="575"/>
      <c r="D161" s="575"/>
      <c r="E161" s="575"/>
      <c r="F161" s="575"/>
      <c r="G161" s="575"/>
      <c r="H161" s="575"/>
      <c r="I161" s="575"/>
      <c r="J161" s="575"/>
      <c r="K161" s="575"/>
      <c r="L161" s="575"/>
      <c r="M161" s="575"/>
      <c r="N161" s="575"/>
      <c r="O161" s="575"/>
      <c r="P161" s="575"/>
      <c r="Q161" s="575"/>
      <c r="R161" s="577"/>
      <c r="S161" s="577"/>
      <c r="T161" s="577"/>
      <c r="U161" s="577"/>
      <c r="V161" s="577"/>
      <c r="W161" s="577"/>
      <c r="X161" s="577"/>
      <c r="Y161" s="575"/>
      <c r="Z161" s="575"/>
      <c r="AA161" s="575"/>
      <c r="AB161" s="575"/>
      <c r="AC161" s="575"/>
      <c r="AD161" s="575"/>
      <c r="AE161" s="575"/>
      <c r="AF161" s="585"/>
      <c r="AG161" s="585"/>
      <c r="AH161" s="585"/>
      <c r="AI161" s="585"/>
      <c r="AJ161" s="585"/>
      <c r="AK161" s="575"/>
      <c r="AL161" s="575"/>
      <c r="AM161" s="575"/>
      <c r="AN161" s="575"/>
      <c r="AO161" s="575"/>
      <c r="AP161" s="575"/>
      <c r="AQ161" s="575"/>
      <c r="AR161" s="575"/>
      <c r="AS161" s="575"/>
      <c r="AT161" s="575"/>
      <c r="AU161" s="575"/>
      <c r="AV161" s="575"/>
      <c r="AW161" s="575"/>
      <c r="AX161" s="575"/>
      <c r="AY161" s="575"/>
      <c r="AZ161" s="575"/>
      <c r="BA161" s="575"/>
      <c r="BB161" s="575"/>
      <c r="BC161" s="575"/>
      <c r="BD161" s="575"/>
      <c r="BE161" s="575"/>
      <c r="BF161" s="575"/>
      <c r="BG161" s="575"/>
      <c r="BH161" s="575"/>
      <c r="BI161" s="575"/>
      <c r="BJ161" s="575"/>
      <c r="BK161" s="575"/>
      <c r="BL161" s="575"/>
      <c r="BM161" s="575"/>
    </row>
    <row r="162" spans="1:65" s="573" customFormat="1" ht="3.75" customHeight="1" x14ac:dyDescent="0.3">
      <c r="R162" s="577"/>
      <c r="S162" s="577"/>
      <c r="T162" s="577"/>
      <c r="U162" s="577"/>
      <c r="V162" s="577"/>
      <c r="W162" s="577"/>
      <c r="X162" s="577"/>
      <c r="AF162" s="585"/>
      <c r="AG162" s="585"/>
      <c r="AH162" s="585"/>
      <c r="AI162" s="585"/>
      <c r="AJ162" s="585"/>
    </row>
    <row r="163" spans="1:65" s="573" customFormat="1" ht="3.75" customHeight="1" x14ac:dyDescent="0.3"/>
    <row r="164" spans="1:65" s="573" customFormat="1" ht="3.75" customHeight="1" x14ac:dyDescent="0.3"/>
    <row r="165" spans="1:65" s="573" customFormat="1" ht="3.75" customHeight="1" x14ac:dyDescent="0.3"/>
    <row r="166" spans="1:65" s="573" customFormat="1" ht="3.75" customHeight="1" x14ac:dyDescent="0.3"/>
    <row r="167" spans="1:65" s="573" customFormat="1" ht="3.75" customHeight="1" x14ac:dyDescent="0.3"/>
    <row r="168" spans="1:65" s="573" customFormat="1" ht="3.75" customHeight="1" x14ac:dyDescent="0.3"/>
    <row r="169" spans="1:65" s="573" customFormat="1" ht="3.75" customHeight="1" x14ac:dyDescent="0.3"/>
    <row r="170" spans="1:65" s="573" customFormat="1" ht="3.75" customHeight="1" x14ac:dyDescent="0.3"/>
    <row r="171" spans="1:65" s="573" customFormat="1" ht="3.75" customHeight="1" x14ac:dyDescent="0.3"/>
    <row r="172" spans="1:65" s="573" customFormat="1" ht="3.75" customHeight="1" x14ac:dyDescent="0.3"/>
    <row r="173" spans="1:65" s="573" customFormat="1" ht="3.75" customHeight="1" x14ac:dyDescent="0.3"/>
    <row r="174" spans="1:65" s="573" customFormat="1" ht="3.75" customHeight="1" x14ac:dyDescent="0.3"/>
    <row r="175" spans="1:65" s="573" customFormat="1" ht="3.75" customHeight="1" x14ac:dyDescent="0.3"/>
    <row r="176" spans="1:65" s="573" customFormat="1" ht="3.75" customHeight="1" x14ac:dyDescent="0.3"/>
    <row r="177" s="573" customFormat="1" ht="3.75" customHeight="1" x14ac:dyDescent="0.3"/>
    <row r="178" s="573" customFormat="1" ht="3.75" customHeight="1" x14ac:dyDescent="0.3"/>
    <row r="179" s="573" customFormat="1" ht="3.75" customHeight="1" x14ac:dyDescent="0.3"/>
    <row r="180" s="573" customFormat="1" ht="3.75" customHeight="1" x14ac:dyDescent="0.3"/>
    <row r="181" s="573" customFormat="1" ht="3.75" customHeight="1" x14ac:dyDescent="0.3"/>
    <row r="182" s="573" customFormat="1" ht="3.75" customHeight="1" x14ac:dyDescent="0.3"/>
    <row r="183" s="573" customFormat="1" ht="3.75" customHeight="1" x14ac:dyDescent="0.3"/>
    <row r="184" s="573" customFormat="1" ht="3.75" customHeight="1" x14ac:dyDescent="0.3"/>
    <row r="185" s="573" customFormat="1" ht="3.75" customHeight="1" x14ac:dyDescent="0.3"/>
    <row r="186" s="573" customFormat="1" ht="3.75" customHeight="1" x14ac:dyDescent="0.3"/>
    <row r="187" s="573" customFormat="1" ht="3.75" customHeight="1" x14ac:dyDescent="0.3"/>
    <row r="188" s="573" customFormat="1" ht="3.75" customHeight="1" x14ac:dyDescent="0.3"/>
    <row r="189" s="573" customFormat="1" ht="3.75" customHeight="1" x14ac:dyDescent="0.3"/>
    <row r="190" s="573" customFormat="1" ht="3.75" customHeight="1" x14ac:dyDescent="0.3"/>
    <row r="191" s="573" customFormat="1" ht="3.75" customHeight="1" x14ac:dyDescent="0.3"/>
    <row r="192" s="573" customFormat="1" ht="3.75" customHeight="1" x14ac:dyDescent="0.3"/>
    <row r="193" s="573" customFormat="1" ht="3.75" customHeight="1" x14ac:dyDescent="0.3"/>
    <row r="194" s="573" customFormat="1" ht="3.75" customHeight="1" x14ac:dyDescent="0.3"/>
    <row r="195" s="573" customFormat="1" ht="3.75" customHeight="1" x14ac:dyDescent="0.3"/>
    <row r="196" s="573" customFormat="1" ht="3.75" customHeight="1" x14ac:dyDescent="0.3"/>
    <row r="197" s="573" customFormat="1" ht="3.75" customHeight="1" x14ac:dyDescent="0.3"/>
    <row r="198" s="573" customFormat="1" ht="3.75" customHeight="1" x14ac:dyDescent="0.3"/>
    <row r="199" s="573" customFormat="1" ht="3.75" customHeight="1" x14ac:dyDescent="0.3"/>
    <row r="200" s="573" customFormat="1" ht="3.75" customHeight="1" x14ac:dyDescent="0.3"/>
    <row r="201" s="573" customFormat="1" ht="3.75" customHeight="1" x14ac:dyDescent="0.3"/>
    <row r="202" s="573" customFormat="1" ht="3.75" customHeight="1" x14ac:dyDescent="0.3"/>
    <row r="203" s="573" customFormat="1" ht="3.75" customHeight="1" x14ac:dyDescent="0.3"/>
    <row r="204" s="573" customFormat="1" ht="3.75" customHeight="1" x14ac:dyDescent="0.3"/>
    <row r="205" s="573" customFormat="1" x14ac:dyDescent="0.3"/>
    <row r="206" s="573" customFormat="1" x14ac:dyDescent="0.3"/>
    <row r="207" s="573" customFormat="1" x14ac:dyDescent="0.3"/>
    <row r="208" s="573" customFormat="1" x14ac:dyDescent="0.3"/>
    <row r="209" s="573" customFormat="1" x14ac:dyDescent="0.3"/>
    <row r="210" s="573" customFormat="1" x14ac:dyDescent="0.3"/>
    <row r="211" s="573" customFormat="1" x14ac:dyDescent="0.3"/>
    <row r="212" s="573" customFormat="1" x14ac:dyDescent="0.3"/>
    <row r="213" s="573" customFormat="1" x14ac:dyDescent="0.3"/>
    <row r="214" s="573" customFormat="1" x14ac:dyDescent="0.3"/>
    <row r="215" s="573" customFormat="1" x14ac:dyDescent="0.3"/>
    <row r="216" s="573" customFormat="1" x14ac:dyDescent="0.3"/>
    <row r="217" s="573" customFormat="1" x14ac:dyDescent="0.3"/>
    <row r="218" s="573" customFormat="1" x14ac:dyDescent="0.3"/>
    <row r="219" s="573" customFormat="1" x14ac:dyDescent="0.3"/>
    <row r="220" s="573" customFormat="1" x14ac:dyDescent="0.3"/>
    <row r="221" s="573" customFormat="1" x14ac:dyDescent="0.3"/>
    <row r="222" s="573" customFormat="1" x14ac:dyDescent="0.3"/>
    <row r="223" s="573" customFormat="1" x14ac:dyDescent="0.3"/>
    <row r="224" s="573" customFormat="1" x14ac:dyDescent="0.3"/>
    <row r="225" s="573" customFormat="1" x14ac:dyDescent="0.3"/>
    <row r="226" s="573" customFormat="1" x14ac:dyDescent="0.3"/>
    <row r="227" s="573" customFormat="1" x14ac:dyDescent="0.3"/>
    <row r="228" s="573" customFormat="1" x14ac:dyDescent="0.3"/>
    <row r="229" s="573" customFormat="1" x14ac:dyDescent="0.3"/>
    <row r="230" s="573" customFormat="1" x14ac:dyDescent="0.3"/>
    <row r="231" s="573" customFormat="1" x14ac:dyDescent="0.3"/>
    <row r="232" s="573" customFormat="1" x14ac:dyDescent="0.3"/>
    <row r="233" s="573" customFormat="1" x14ac:dyDescent="0.3"/>
    <row r="234" s="573" customFormat="1" x14ac:dyDescent="0.3"/>
    <row r="235" s="573" customFormat="1" x14ac:dyDescent="0.3"/>
    <row r="236" s="573" customFormat="1" x14ac:dyDescent="0.3"/>
    <row r="237" s="573" customFormat="1" x14ac:dyDescent="0.3"/>
    <row r="238" s="573" customFormat="1" x14ac:dyDescent="0.3"/>
    <row r="239" s="573" customFormat="1" x14ac:dyDescent="0.3"/>
    <row r="240" s="573" customFormat="1" x14ac:dyDescent="0.3"/>
    <row r="241" s="573" customFormat="1" x14ac:dyDescent="0.3"/>
    <row r="242" s="573" customFormat="1" x14ac:dyDescent="0.3"/>
    <row r="243" s="573" customFormat="1" x14ac:dyDescent="0.3"/>
    <row r="244" s="573" customFormat="1" x14ac:dyDescent="0.3"/>
    <row r="245" s="573" customFormat="1" x14ac:dyDescent="0.3"/>
    <row r="246" s="573" customFormat="1" x14ac:dyDescent="0.3"/>
    <row r="247" s="573" customFormat="1" x14ac:dyDescent="0.3"/>
    <row r="248" s="573" customFormat="1" x14ac:dyDescent="0.3"/>
    <row r="249" s="573" customFormat="1" x14ac:dyDescent="0.3"/>
    <row r="250" s="573" customFormat="1" x14ac:dyDescent="0.3"/>
    <row r="251" s="573" customFormat="1" x14ac:dyDescent="0.3"/>
    <row r="252" s="573" customFormat="1" x14ac:dyDescent="0.3"/>
    <row r="253" s="573" customFormat="1" x14ac:dyDescent="0.3"/>
    <row r="254" s="573" customFormat="1" x14ac:dyDescent="0.3"/>
    <row r="255" s="573" customFormat="1" x14ac:dyDescent="0.3"/>
    <row r="256" s="573" customFormat="1" x14ac:dyDescent="0.3"/>
    <row r="257" s="573" customFormat="1" x14ac:dyDescent="0.3"/>
    <row r="258" s="573" customFormat="1" x14ac:dyDescent="0.3"/>
    <row r="259" s="573" customFormat="1" x14ac:dyDescent="0.3"/>
    <row r="260" s="573" customFormat="1" x14ac:dyDescent="0.3"/>
    <row r="261" s="573" customFormat="1" x14ac:dyDescent="0.3"/>
    <row r="262" s="573" customFormat="1" x14ac:dyDescent="0.3"/>
    <row r="263" s="573" customFormat="1" x14ac:dyDescent="0.3"/>
    <row r="264" s="573" customFormat="1" x14ac:dyDescent="0.3"/>
    <row r="265" s="573" customFormat="1" x14ac:dyDescent="0.3"/>
    <row r="266" s="573" customFormat="1" x14ac:dyDescent="0.3"/>
    <row r="267" s="573" customFormat="1" x14ac:dyDescent="0.3"/>
    <row r="268" s="573" customFormat="1" x14ac:dyDescent="0.3"/>
    <row r="269" s="573" customFormat="1" x14ac:dyDescent="0.3"/>
    <row r="270" s="573" customFormat="1" x14ac:dyDescent="0.3"/>
    <row r="271" s="573" customFormat="1" x14ac:dyDescent="0.3"/>
    <row r="272" s="573" customFormat="1" x14ac:dyDescent="0.3"/>
    <row r="273" s="573" customFormat="1" x14ac:dyDescent="0.3"/>
    <row r="274" s="573" customFormat="1" x14ac:dyDescent="0.3"/>
    <row r="275" s="573" customFormat="1" x14ac:dyDescent="0.3"/>
    <row r="276" s="573" customFormat="1" x14ac:dyDescent="0.3"/>
    <row r="277" s="573" customFormat="1" x14ac:dyDescent="0.3"/>
    <row r="278" s="573" customFormat="1" x14ac:dyDescent="0.3"/>
    <row r="279" s="573" customFormat="1" x14ac:dyDescent="0.3"/>
    <row r="280" s="573" customFormat="1" x14ac:dyDescent="0.3"/>
    <row r="281" s="573" customFormat="1" x14ac:dyDescent="0.3"/>
    <row r="282" s="573" customFormat="1" x14ac:dyDescent="0.3"/>
    <row r="283" s="573" customFormat="1" x14ac:dyDescent="0.3"/>
    <row r="284" s="573" customFormat="1" x14ac:dyDescent="0.3"/>
    <row r="285" s="573" customFormat="1" x14ac:dyDescent="0.3"/>
    <row r="286" s="573" customFormat="1" x14ac:dyDescent="0.3"/>
    <row r="287" s="573" customFormat="1" x14ac:dyDescent="0.3"/>
    <row r="288" s="573" customFormat="1" x14ac:dyDescent="0.3"/>
    <row r="289" s="573" customFormat="1" x14ac:dyDescent="0.3"/>
    <row r="290" s="573" customFormat="1" x14ac:dyDescent="0.3"/>
    <row r="291" s="573" customFormat="1" x14ac:dyDescent="0.3"/>
    <row r="292" s="573" customFormat="1" x14ac:dyDescent="0.3"/>
    <row r="293" s="573" customFormat="1" x14ac:dyDescent="0.3"/>
    <row r="294" s="573" customFormat="1" x14ac:dyDescent="0.3"/>
    <row r="295" s="573" customFormat="1" x14ac:dyDescent="0.3"/>
    <row r="296" s="573" customFormat="1" x14ac:dyDescent="0.3"/>
    <row r="297" s="573" customFormat="1" x14ac:dyDescent="0.3"/>
    <row r="298" s="573" customFormat="1" x14ac:dyDescent="0.3"/>
    <row r="299" s="573" customFormat="1" x14ac:dyDescent="0.3"/>
    <row r="300" s="573" customFormat="1" x14ac:dyDescent="0.3"/>
    <row r="301" s="573" customFormat="1" x14ac:dyDescent="0.3"/>
    <row r="302" s="573" customFormat="1" x14ac:dyDescent="0.3"/>
    <row r="303" s="573" customFormat="1" x14ac:dyDescent="0.3"/>
    <row r="304" s="573" customFormat="1" x14ac:dyDescent="0.3"/>
    <row r="305" s="573" customFormat="1" x14ac:dyDescent="0.3"/>
    <row r="306" s="573" customFormat="1" x14ac:dyDescent="0.3"/>
    <row r="307" s="573" customFormat="1" x14ac:dyDescent="0.3"/>
    <row r="308" s="573" customFormat="1" x14ac:dyDescent="0.3"/>
    <row r="309" s="573" customFormat="1" x14ac:dyDescent="0.3"/>
    <row r="310" s="573" customFormat="1" x14ac:dyDescent="0.3"/>
    <row r="311" s="573" customFormat="1" x14ac:dyDescent="0.3"/>
    <row r="312" s="573" customFormat="1" x14ac:dyDescent="0.3"/>
    <row r="313" s="573" customFormat="1" x14ac:dyDescent="0.3"/>
    <row r="314" s="573" customFormat="1" x14ac:dyDescent="0.3"/>
    <row r="315" s="573" customFormat="1" x14ac:dyDescent="0.3"/>
    <row r="316" s="573" customFormat="1" x14ac:dyDescent="0.3"/>
    <row r="317" s="573" customFormat="1" x14ac:dyDescent="0.3"/>
    <row r="318" s="573" customFormat="1" x14ac:dyDescent="0.3"/>
    <row r="319" s="573" customFormat="1" x14ac:dyDescent="0.3"/>
    <row r="320" s="573" customFormat="1" x14ac:dyDescent="0.3"/>
    <row r="321" s="573" customFormat="1" x14ac:dyDescent="0.3"/>
    <row r="322" s="573" customFormat="1" x14ac:dyDescent="0.3"/>
    <row r="323" s="573" customFormat="1" x14ac:dyDescent="0.3"/>
    <row r="324" s="573" customFormat="1" x14ac:dyDescent="0.3"/>
    <row r="325" s="573" customFormat="1" x14ac:dyDescent="0.3"/>
    <row r="326" s="573" customFormat="1" x14ac:dyDescent="0.3"/>
    <row r="327" s="573" customFormat="1" x14ac:dyDescent="0.3"/>
    <row r="328" s="573" customFormat="1" x14ac:dyDescent="0.3"/>
    <row r="329" s="573" customFormat="1" x14ac:dyDescent="0.3"/>
    <row r="330" s="573" customFormat="1" x14ac:dyDescent="0.3"/>
    <row r="331" s="573" customFormat="1" x14ac:dyDescent="0.3"/>
    <row r="332" s="573" customFormat="1" x14ac:dyDescent="0.3"/>
    <row r="333" s="573" customFormat="1" x14ac:dyDescent="0.3"/>
    <row r="334" s="573" customFormat="1" x14ac:dyDescent="0.3"/>
    <row r="335" s="573" customFormat="1" x14ac:dyDescent="0.3"/>
    <row r="336" s="573" customFormat="1" x14ac:dyDescent="0.3"/>
    <row r="337" s="573" customFormat="1" x14ac:dyDescent="0.3"/>
    <row r="338" s="573" customFormat="1" x14ac:dyDescent="0.3"/>
    <row r="339" s="573" customFormat="1" x14ac:dyDescent="0.3"/>
    <row r="340" s="573" customFormat="1" x14ac:dyDescent="0.3"/>
    <row r="341" s="573" customFormat="1" x14ac:dyDescent="0.3"/>
    <row r="342" s="573" customFormat="1" x14ac:dyDescent="0.3"/>
    <row r="343" s="573" customFormat="1" x14ac:dyDescent="0.3"/>
    <row r="344" s="573" customFormat="1" x14ac:dyDescent="0.3"/>
    <row r="345" s="573" customFormat="1" x14ac:dyDescent="0.3"/>
    <row r="346" s="573" customFormat="1" x14ac:dyDescent="0.3"/>
    <row r="347" s="573" customFormat="1" x14ac:dyDescent="0.3"/>
    <row r="348" s="573" customFormat="1" x14ac:dyDescent="0.3"/>
    <row r="349" s="573" customFormat="1" x14ac:dyDescent="0.3"/>
    <row r="350" s="573" customFormat="1" x14ac:dyDescent="0.3"/>
    <row r="351" s="573" customFormat="1" x14ac:dyDescent="0.3"/>
    <row r="352" s="573" customFormat="1" x14ac:dyDescent="0.3"/>
    <row r="353" s="573" customFormat="1" x14ac:dyDescent="0.3"/>
    <row r="354" s="573" customFormat="1" x14ac:dyDescent="0.3"/>
    <row r="355" s="573" customFormat="1" x14ac:dyDescent="0.3"/>
    <row r="356" s="573" customFormat="1" x14ac:dyDescent="0.3"/>
    <row r="357" s="573" customFormat="1" x14ac:dyDescent="0.3"/>
    <row r="358" s="573" customFormat="1" x14ac:dyDescent="0.3"/>
    <row r="359" s="573" customFormat="1" x14ac:dyDescent="0.3"/>
    <row r="360" s="573" customFormat="1" x14ac:dyDescent="0.3"/>
    <row r="361" s="573" customFormat="1" x14ac:dyDescent="0.3"/>
    <row r="362" s="573" customFormat="1" x14ac:dyDescent="0.3"/>
    <row r="363" s="573" customFormat="1" x14ac:dyDescent="0.3"/>
    <row r="364" s="573" customFormat="1" x14ac:dyDescent="0.3"/>
    <row r="365" s="573" customFormat="1" x14ac:dyDescent="0.3"/>
    <row r="366" s="573" customFormat="1" x14ac:dyDescent="0.3"/>
    <row r="367" s="573" customFormat="1" x14ac:dyDescent="0.3"/>
    <row r="368" s="573" customFormat="1" x14ac:dyDescent="0.3"/>
    <row r="369" s="573" customFormat="1" x14ac:dyDescent="0.3"/>
    <row r="370" s="573" customFormat="1" x14ac:dyDescent="0.3"/>
    <row r="371" s="573" customFormat="1" x14ac:dyDescent="0.3"/>
    <row r="372" s="573" customFormat="1" x14ac:dyDescent="0.3"/>
    <row r="373" s="573" customFormat="1" x14ac:dyDescent="0.3"/>
    <row r="374" s="573" customFormat="1" x14ac:dyDescent="0.3"/>
    <row r="375" s="573" customFormat="1" x14ac:dyDescent="0.3"/>
    <row r="376" s="573" customFormat="1" x14ac:dyDescent="0.3"/>
    <row r="377" s="573" customFormat="1" x14ac:dyDescent="0.3"/>
    <row r="378" s="573" customFormat="1" x14ac:dyDescent="0.3"/>
    <row r="379" s="573" customFormat="1" x14ac:dyDescent="0.3"/>
    <row r="380" s="573" customFormat="1" x14ac:dyDescent="0.3"/>
    <row r="381" s="573" customFormat="1" x14ac:dyDescent="0.3"/>
    <row r="382" s="573" customFormat="1" x14ac:dyDescent="0.3"/>
    <row r="383" s="573" customFormat="1" x14ac:dyDescent="0.3"/>
    <row r="384" s="573" customFormat="1" x14ac:dyDescent="0.3"/>
    <row r="385" s="573" customFormat="1" x14ac:dyDescent="0.3"/>
    <row r="386" s="573" customFormat="1" x14ac:dyDescent="0.3"/>
    <row r="387" s="573" customFormat="1" x14ac:dyDescent="0.3"/>
    <row r="388" s="573" customFormat="1" x14ac:dyDescent="0.3"/>
    <row r="389" s="573" customFormat="1" x14ac:dyDescent="0.3"/>
    <row r="390" s="573" customFormat="1" x14ac:dyDescent="0.3"/>
    <row r="391" s="573" customFormat="1" x14ac:dyDescent="0.3"/>
    <row r="392" s="573" customFormat="1" x14ac:dyDescent="0.3"/>
    <row r="393" s="573" customFormat="1" x14ac:dyDescent="0.3"/>
    <row r="394" s="573" customFormat="1" x14ac:dyDescent="0.3"/>
    <row r="395" s="573" customFormat="1" x14ac:dyDescent="0.3"/>
    <row r="396" s="573" customFormat="1" x14ac:dyDescent="0.3"/>
    <row r="397" s="573" customFormat="1" x14ac:dyDescent="0.3"/>
    <row r="398" s="573" customFormat="1" x14ac:dyDescent="0.3"/>
    <row r="399" s="573" customFormat="1" x14ac:dyDescent="0.3"/>
    <row r="400" s="573" customFormat="1" x14ac:dyDescent="0.3"/>
    <row r="401" s="573" customFormat="1" x14ac:dyDescent="0.3"/>
    <row r="402" s="573" customFormat="1" x14ac:dyDescent="0.3"/>
    <row r="403" s="573" customFormat="1" x14ac:dyDescent="0.3"/>
    <row r="404" s="573" customFormat="1" x14ac:dyDescent="0.3"/>
    <row r="405" s="573" customFormat="1" x14ac:dyDescent="0.3"/>
    <row r="406" s="573" customFormat="1" x14ac:dyDescent="0.3"/>
    <row r="407" s="573" customFormat="1" x14ac:dyDescent="0.3"/>
    <row r="408" s="573" customFormat="1" x14ac:dyDescent="0.3"/>
    <row r="409" s="573" customFormat="1" x14ac:dyDescent="0.3"/>
    <row r="410" s="573" customFormat="1" x14ac:dyDescent="0.3"/>
    <row r="411" s="573" customFormat="1" x14ac:dyDescent="0.3"/>
    <row r="412" s="573" customFormat="1" x14ac:dyDescent="0.3"/>
    <row r="413" s="573" customFormat="1" x14ac:dyDescent="0.3"/>
    <row r="414" s="573" customFormat="1" x14ac:dyDescent="0.3"/>
    <row r="415" s="573" customFormat="1" x14ac:dyDescent="0.3"/>
    <row r="416" s="573" customFormat="1" x14ac:dyDescent="0.3"/>
    <row r="417" s="573" customFormat="1" x14ac:dyDescent="0.3"/>
    <row r="418" s="573" customFormat="1" x14ac:dyDescent="0.3"/>
    <row r="419" s="573" customFormat="1" x14ac:dyDescent="0.3"/>
    <row r="420" s="573" customFormat="1" x14ac:dyDescent="0.3"/>
    <row r="421" s="573" customFormat="1" x14ac:dyDescent="0.3"/>
    <row r="422" s="573" customFormat="1" x14ac:dyDescent="0.3"/>
    <row r="423" s="573" customFormat="1" x14ac:dyDescent="0.3"/>
    <row r="424" s="573" customFormat="1" x14ac:dyDescent="0.3"/>
    <row r="425" s="573" customFormat="1" x14ac:dyDescent="0.3"/>
    <row r="426" s="573" customFormat="1" x14ac:dyDescent="0.3"/>
    <row r="427" s="573" customFormat="1" x14ac:dyDescent="0.3"/>
    <row r="428" s="573" customFormat="1" x14ac:dyDescent="0.3"/>
    <row r="429" s="573" customFormat="1" x14ac:dyDescent="0.3"/>
    <row r="430" s="573" customFormat="1" x14ac:dyDescent="0.3"/>
    <row r="431" s="573" customFormat="1" x14ac:dyDescent="0.3"/>
    <row r="432" s="573" customFormat="1" x14ac:dyDescent="0.3"/>
    <row r="433" s="573" customFormat="1" x14ac:dyDescent="0.3"/>
    <row r="434" s="573" customFormat="1" x14ac:dyDescent="0.3"/>
    <row r="435" s="573" customFormat="1" x14ac:dyDescent="0.3"/>
    <row r="436" s="573" customFormat="1" x14ac:dyDescent="0.3"/>
    <row r="437" s="573" customFormat="1" x14ac:dyDescent="0.3"/>
    <row r="438" s="573" customFormat="1" x14ac:dyDescent="0.3"/>
    <row r="439" s="573" customFormat="1" x14ac:dyDescent="0.3"/>
    <row r="440" s="573" customFormat="1" x14ac:dyDescent="0.3"/>
    <row r="441" s="573" customFormat="1" x14ac:dyDescent="0.3"/>
    <row r="442" s="573" customFormat="1" x14ac:dyDescent="0.3"/>
    <row r="443" s="573" customFormat="1" x14ac:dyDescent="0.3"/>
    <row r="444" s="573" customFormat="1" x14ac:dyDescent="0.3"/>
    <row r="445" s="573" customFormat="1" x14ac:dyDescent="0.3"/>
    <row r="446" s="573" customFormat="1" x14ac:dyDescent="0.3"/>
    <row r="447" s="573" customFormat="1" x14ac:dyDescent="0.3"/>
    <row r="448" s="573" customFormat="1" x14ac:dyDescent="0.3"/>
    <row r="449" s="573" customFormat="1" x14ac:dyDescent="0.3"/>
    <row r="450" s="573" customFormat="1" x14ac:dyDescent="0.3"/>
    <row r="451" s="573" customFormat="1" x14ac:dyDescent="0.3"/>
    <row r="452" s="573" customFormat="1" x14ac:dyDescent="0.3"/>
    <row r="453" s="573" customFormat="1" x14ac:dyDescent="0.3"/>
    <row r="454" s="573" customFormat="1" x14ac:dyDescent="0.3"/>
    <row r="455" s="573" customFormat="1" x14ac:dyDescent="0.3"/>
    <row r="456" s="573" customFormat="1" x14ac:dyDescent="0.3"/>
    <row r="457" s="573" customFormat="1" x14ac:dyDescent="0.3"/>
    <row r="458" s="573" customFormat="1" x14ac:dyDescent="0.3"/>
    <row r="459" s="573" customFormat="1" x14ac:dyDescent="0.3"/>
    <row r="460" s="573" customFormat="1" x14ac:dyDescent="0.3"/>
    <row r="461" s="573" customFormat="1" x14ac:dyDescent="0.3"/>
    <row r="462" s="573" customFormat="1" x14ac:dyDescent="0.3"/>
    <row r="463" s="573" customFormat="1" x14ac:dyDescent="0.3"/>
    <row r="464" s="573" customFormat="1" x14ac:dyDescent="0.3"/>
    <row r="465" s="573" customFormat="1" x14ac:dyDescent="0.3"/>
    <row r="466" s="573" customFormat="1" x14ac:dyDescent="0.3"/>
    <row r="467" s="573" customFormat="1" x14ac:dyDescent="0.3"/>
    <row r="468" s="573" customFormat="1" x14ac:dyDescent="0.3"/>
    <row r="469" s="573" customFormat="1" x14ac:dyDescent="0.3"/>
    <row r="470" s="573" customFormat="1" x14ac:dyDescent="0.3"/>
    <row r="471" s="573" customFormat="1" x14ac:dyDescent="0.3"/>
    <row r="472" s="573" customFormat="1" x14ac:dyDescent="0.3"/>
    <row r="473" s="573" customFormat="1" x14ac:dyDescent="0.3"/>
    <row r="474" s="573" customFormat="1" x14ac:dyDescent="0.3"/>
    <row r="475" s="573" customFormat="1" x14ac:dyDescent="0.3"/>
    <row r="476" s="573" customFormat="1" x14ac:dyDescent="0.3"/>
    <row r="477" s="573" customFormat="1" x14ac:dyDescent="0.3"/>
    <row r="478" s="573" customFormat="1" x14ac:dyDescent="0.3"/>
    <row r="479" s="573" customFormat="1" x14ac:dyDescent="0.3"/>
    <row r="480" s="573" customFormat="1" x14ac:dyDescent="0.3"/>
    <row r="481" s="573" customFormat="1" x14ac:dyDescent="0.3"/>
    <row r="482" s="573" customFormat="1" x14ac:dyDescent="0.3"/>
    <row r="483" s="573" customFormat="1" x14ac:dyDescent="0.3"/>
    <row r="484" s="573" customFormat="1" x14ac:dyDescent="0.3"/>
    <row r="485" s="573" customFormat="1" x14ac:dyDescent="0.3"/>
    <row r="486" s="573" customFormat="1" x14ac:dyDescent="0.3"/>
    <row r="487" s="573" customFormat="1" x14ac:dyDescent="0.3"/>
    <row r="488" s="573" customFormat="1" x14ac:dyDescent="0.3"/>
    <row r="489" s="573" customFormat="1" x14ac:dyDescent="0.3"/>
    <row r="490" s="573" customFormat="1" x14ac:dyDescent="0.3"/>
    <row r="491" s="573" customFormat="1" x14ac:dyDescent="0.3"/>
    <row r="492" s="573" customFormat="1" x14ac:dyDescent="0.3"/>
    <row r="493" s="573" customFormat="1" x14ac:dyDescent="0.3"/>
    <row r="494" s="573" customFormat="1" x14ac:dyDescent="0.3"/>
    <row r="495" s="573" customFormat="1" x14ac:dyDescent="0.3"/>
    <row r="496" s="573" customFormat="1" x14ac:dyDescent="0.3"/>
    <row r="497" s="573" customFormat="1" x14ac:dyDescent="0.3"/>
    <row r="498" s="573" customFormat="1" x14ac:dyDescent="0.3"/>
    <row r="499" s="573" customFormat="1" x14ac:dyDescent="0.3"/>
    <row r="500" s="573" customFormat="1" x14ac:dyDescent="0.3"/>
    <row r="501" s="573" customFormat="1" x14ac:dyDescent="0.3"/>
    <row r="502" s="573" customFormat="1" x14ac:dyDescent="0.3"/>
    <row r="503" s="573" customFormat="1" x14ac:dyDescent="0.3"/>
    <row r="504" s="573" customFormat="1" x14ac:dyDescent="0.3"/>
    <row r="505" s="573" customFormat="1" x14ac:dyDescent="0.3"/>
    <row r="506" s="573" customFormat="1" x14ac:dyDescent="0.3"/>
    <row r="507" s="573" customFormat="1" x14ac:dyDescent="0.3"/>
    <row r="508" s="573" customFormat="1" x14ac:dyDescent="0.3"/>
    <row r="509" s="573" customFormat="1" x14ac:dyDescent="0.3"/>
    <row r="510" s="573" customFormat="1" x14ac:dyDescent="0.3"/>
    <row r="511" s="573" customFormat="1" x14ac:dyDescent="0.3"/>
    <row r="512" s="573" customFormat="1" x14ac:dyDescent="0.3"/>
    <row r="513" s="573" customFormat="1" x14ac:dyDescent="0.3"/>
    <row r="514" s="573" customFormat="1" x14ac:dyDescent="0.3"/>
    <row r="515" s="573" customFormat="1" x14ac:dyDescent="0.3"/>
    <row r="516" s="573" customFormat="1" x14ac:dyDescent="0.3"/>
    <row r="517" s="573" customFormat="1" x14ac:dyDescent="0.3"/>
    <row r="518" s="573" customFormat="1" x14ac:dyDescent="0.3"/>
    <row r="519" s="573" customFormat="1" x14ac:dyDescent="0.3"/>
    <row r="520" s="573" customFormat="1" x14ac:dyDescent="0.3"/>
    <row r="521" s="573" customFormat="1" x14ac:dyDescent="0.3"/>
    <row r="522" s="573" customFormat="1" x14ac:dyDescent="0.3"/>
    <row r="523" s="573" customFormat="1" x14ac:dyDescent="0.3"/>
    <row r="524" s="573" customFormat="1" x14ac:dyDescent="0.3"/>
    <row r="525" s="573" customFormat="1" x14ac:dyDescent="0.3"/>
    <row r="526" s="573" customFormat="1" x14ac:dyDescent="0.3"/>
    <row r="527" s="573" customFormat="1" x14ac:dyDescent="0.3"/>
    <row r="528" s="573" customFormat="1" x14ac:dyDescent="0.3"/>
    <row r="529" s="573" customFormat="1" x14ac:dyDescent="0.3"/>
    <row r="530" s="573" customFormat="1" x14ac:dyDescent="0.3"/>
    <row r="531" s="573" customFormat="1" x14ac:dyDescent="0.3"/>
    <row r="532" s="573" customFormat="1" x14ac:dyDescent="0.3"/>
    <row r="533" s="573" customFormat="1" x14ac:dyDescent="0.3"/>
    <row r="534" s="573" customFormat="1" x14ac:dyDescent="0.3"/>
    <row r="535" s="573" customFormat="1" x14ac:dyDescent="0.3"/>
    <row r="536" s="573" customFormat="1" x14ac:dyDescent="0.3"/>
    <row r="537" s="573" customFormat="1" x14ac:dyDescent="0.3"/>
    <row r="538" s="573" customFormat="1" x14ac:dyDescent="0.3"/>
    <row r="539" s="573" customFormat="1" x14ac:dyDescent="0.3"/>
    <row r="540" s="573" customFormat="1" x14ac:dyDescent="0.3"/>
    <row r="541" s="573" customFormat="1" x14ac:dyDescent="0.3"/>
    <row r="542" s="573" customFormat="1" x14ac:dyDescent="0.3"/>
    <row r="543" s="573" customFormat="1" x14ac:dyDescent="0.3"/>
    <row r="544" s="573" customFormat="1" x14ac:dyDescent="0.3"/>
    <row r="545" s="573" customFormat="1" x14ac:dyDescent="0.3"/>
    <row r="546" s="573" customFormat="1" x14ac:dyDescent="0.3"/>
    <row r="547" s="573" customFormat="1" x14ac:dyDescent="0.3"/>
    <row r="548" s="573" customFormat="1" x14ac:dyDescent="0.3"/>
    <row r="549" s="573" customFormat="1" x14ac:dyDescent="0.3"/>
    <row r="550" s="573" customFormat="1" x14ac:dyDescent="0.3"/>
    <row r="551" s="573" customFormat="1" x14ac:dyDescent="0.3"/>
    <row r="552" s="573" customFormat="1" x14ac:dyDescent="0.3"/>
    <row r="553" s="573" customFormat="1" x14ac:dyDescent="0.3"/>
    <row r="554" s="573" customFormat="1" x14ac:dyDescent="0.3"/>
    <row r="555" s="573" customFormat="1" x14ac:dyDescent="0.3"/>
    <row r="556" s="573" customFormat="1" x14ac:dyDescent="0.3"/>
    <row r="557" s="573" customFormat="1" x14ac:dyDescent="0.3"/>
    <row r="558" s="573" customFormat="1" x14ac:dyDescent="0.3"/>
    <row r="559" s="573" customFormat="1" x14ac:dyDescent="0.3"/>
    <row r="560" s="573" customFormat="1" x14ac:dyDescent="0.3"/>
    <row r="561" s="573" customFormat="1" x14ac:dyDescent="0.3"/>
    <row r="562" s="573" customFormat="1" x14ac:dyDescent="0.3"/>
    <row r="563" s="573" customFormat="1" x14ac:dyDescent="0.3"/>
    <row r="564" s="573" customFormat="1" x14ac:dyDescent="0.3"/>
    <row r="565" s="573" customFormat="1" x14ac:dyDescent="0.3"/>
    <row r="566" s="573" customFormat="1" x14ac:dyDescent="0.3"/>
    <row r="567" s="573" customFormat="1" x14ac:dyDescent="0.3"/>
    <row r="568" s="573" customFormat="1" x14ac:dyDescent="0.3"/>
    <row r="569" s="573" customFormat="1" x14ac:dyDescent="0.3"/>
    <row r="570" s="573" customFormat="1" x14ac:dyDescent="0.3"/>
    <row r="571" s="573" customFormat="1" x14ac:dyDescent="0.3"/>
    <row r="572" s="573" customFormat="1" x14ac:dyDescent="0.3"/>
    <row r="573" s="573" customFormat="1" x14ac:dyDescent="0.3"/>
    <row r="574" s="573" customFormat="1" x14ac:dyDescent="0.3"/>
    <row r="575" s="573" customFormat="1" x14ac:dyDescent="0.3"/>
    <row r="576" s="573" customFormat="1" x14ac:dyDescent="0.3"/>
    <row r="577" s="573" customFormat="1" x14ac:dyDescent="0.3"/>
    <row r="578" s="573" customFormat="1" x14ac:dyDescent="0.3"/>
    <row r="579" s="573" customFormat="1" x14ac:dyDescent="0.3"/>
    <row r="580" s="573" customFormat="1" x14ac:dyDescent="0.3"/>
    <row r="581" s="573" customFormat="1" x14ac:dyDescent="0.3"/>
    <row r="582" s="573" customFormat="1" x14ac:dyDescent="0.3"/>
    <row r="583" s="573" customFormat="1" x14ac:dyDescent="0.3"/>
    <row r="584" s="573" customFormat="1" x14ac:dyDescent="0.3"/>
    <row r="585" s="573" customFormat="1" x14ac:dyDescent="0.3"/>
    <row r="586" s="573" customFormat="1" x14ac:dyDescent="0.3"/>
    <row r="587" s="573" customFormat="1" x14ac:dyDescent="0.3"/>
    <row r="588" s="573" customFormat="1" x14ac:dyDescent="0.3"/>
    <row r="589" s="573" customFormat="1" x14ac:dyDescent="0.3"/>
    <row r="590" s="573" customFormat="1" x14ac:dyDescent="0.3"/>
    <row r="591" s="573" customFormat="1" x14ac:dyDescent="0.3"/>
    <row r="592" s="573" customFormat="1" x14ac:dyDescent="0.3"/>
    <row r="593" s="573" customFormat="1" x14ac:dyDescent="0.3"/>
    <row r="594" s="573" customFormat="1" x14ac:dyDescent="0.3"/>
    <row r="595" s="573" customFormat="1" x14ac:dyDescent="0.3"/>
    <row r="596" s="573" customFormat="1" x14ac:dyDescent="0.3"/>
    <row r="597" s="573" customFormat="1" x14ac:dyDescent="0.3"/>
    <row r="598" s="573" customFormat="1" x14ac:dyDescent="0.3"/>
    <row r="599" s="573" customFormat="1" x14ac:dyDescent="0.3"/>
    <row r="600" s="573" customFormat="1" x14ac:dyDescent="0.3"/>
    <row r="601" s="573" customFormat="1" x14ac:dyDescent="0.3"/>
    <row r="602" s="573" customFormat="1" x14ac:dyDescent="0.3"/>
    <row r="603" s="573" customFormat="1" x14ac:dyDescent="0.3"/>
    <row r="604" s="573" customFormat="1" x14ac:dyDescent="0.3"/>
    <row r="605" s="573" customFormat="1" x14ac:dyDescent="0.3"/>
    <row r="606" s="573" customFormat="1" x14ac:dyDescent="0.3"/>
    <row r="607" s="573" customFormat="1" x14ac:dyDescent="0.3"/>
    <row r="608" s="573" customFormat="1" x14ac:dyDescent="0.3"/>
    <row r="609" s="573" customFormat="1" x14ac:dyDescent="0.3"/>
    <row r="610" s="573" customFormat="1" x14ac:dyDescent="0.3"/>
    <row r="611" s="573" customFormat="1" x14ac:dyDescent="0.3"/>
    <row r="612" s="573" customFormat="1" x14ac:dyDescent="0.3"/>
    <row r="613" s="573" customFormat="1" x14ac:dyDescent="0.3"/>
    <row r="614" s="573" customFormat="1" x14ac:dyDescent="0.3"/>
    <row r="615" s="573" customFormat="1" x14ac:dyDescent="0.3"/>
    <row r="616" s="573" customFormat="1" x14ac:dyDescent="0.3"/>
    <row r="617" s="573" customFormat="1" x14ac:dyDescent="0.3"/>
    <row r="618" s="573" customFormat="1" x14ac:dyDescent="0.3"/>
    <row r="619" s="573" customFormat="1" x14ac:dyDescent="0.3"/>
    <row r="620" s="573" customFormat="1" x14ac:dyDescent="0.3"/>
    <row r="621" s="573" customFormat="1" x14ac:dyDescent="0.3"/>
    <row r="622" s="573" customFormat="1" x14ac:dyDescent="0.3"/>
    <row r="623" s="573" customFormat="1" x14ac:dyDescent="0.3"/>
    <row r="624" s="573" customFormat="1" x14ac:dyDescent="0.3"/>
    <row r="625" s="573" customFormat="1" x14ac:dyDescent="0.3"/>
    <row r="626" s="573" customFormat="1" x14ac:dyDescent="0.3"/>
    <row r="627" s="573" customFormat="1" x14ac:dyDescent="0.3"/>
    <row r="628" s="573" customFormat="1" x14ac:dyDescent="0.3"/>
    <row r="629" s="573" customFormat="1" x14ac:dyDescent="0.3"/>
    <row r="630" s="573" customFormat="1" x14ac:dyDescent="0.3"/>
    <row r="631" s="573" customFormat="1" x14ac:dyDescent="0.3"/>
    <row r="632" s="573" customFormat="1" x14ac:dyDescent="0.3"/>
    <row r="633" s="573" customFormat="1" x14ac:dyDescent="0.3"/>
    <row r="634" s="573" customFormat="1" x14ac:dyDescent="0.3"/>
    <row r="635" s="573" customFormat="1" x14ac:dyDescent="0.3"/>
    <row r="636" s="573" customFormat="1" x14ac:dyDescent="0.3"/>
    <row r="637" s="573" customFormat="1" x14ac:dyDescent="0.3"/>
    <row r="638" s="573" customFormat="1" x14ac:dyDescent="0.3"/>
    <row r="639" s="573" customFormat="1" x14ac:dyDescent="0.3"/>
    <row r="640" s="573" customFormat="1" x14ac:dyDescent="0.3"/>
    <row r="641" s="573" customFormat="1" x14ac:dyDescent="0.3"/>
    <row r="642" s="573" customFormat="1" x14ac:dyDescent="0.3"/>
    <row r="643" s="573" customFormat="1" x14ac:dyDescent="0.3"/>
    <row r="644" s="573" customFormat="1" x14ac:dyDescent="0.3"/>
    <row r="645" s="573" customFormat="1" x14ac:dyDescent="0.3"/>
    <row r="646" s="573" customFormat="1" x14ac:dyDescent="0.3"/>
    <row r="647" s="573" customFormat="1" x14ac:dyDescent="0.3"/>
    <row r="648" s="573" customFormat="1" x14ac:dyDescent="0.3"/>
    <row r="649" s="573" customFormat="1" x14ac:dyDescent="0.3"/>
    <row r="650" s="573" customFormat="1" x14ac:dyDescent="0.3"/>
    <row r="651" s="573" customFormat="1" x14ac:dyDescent="0.3"/>
    <row r="652" s="573" customFormat="1" x14ac:dyDescent="0.3"/>
    <row r="653" s="573" customFormat="1" x14ac:dyDescent="0.3"/>
    <row r="654" s="573" customFormat="1" x14ac:dyDescent="0.3"/>
    <row r="655" s="573" customFormat="1" x14ac:dyDescent="0.3"/>
    <row r="656" s="573" customFormat="1" x14ac:dyDescent="0.3"/>
    <row r="657" s="573" customFormat="1" x14ac:dyDescent="0.3"/>
    <row r="658" s="573" customFormat="1" x14ac:dyDescent="0.3"/>
    <row r="659" s="573" customFormat="1" x14ac:dyDescent="0.3"/>
    <row r="660" s="573" customFormat="1" x14ac:dyDescent="0.3"/>
    <row r="661" s="573" customFormat="1" x14ac:dyDescent="0.3"/>
    <row r="662" s="573" customFormat="1" x14ac:dyDescent="0.3"/>
    <row r="663" s="573" customFormat="1" x14ac:dyDescent="0.3"/>
    <row r="664" s="573" customFormat="1" x14ac:dyDescent="0.3"/>
    <row r="665" s="573" customFormat="1" x14ac:dyDescent="0.3"/>
    <row r="666" s="573" customFormat="1" x14ac:dyDescent="0.3"/>
    <row r="667" s="573" customFormat="1" x14ac:dyDescent="0.3"/>
    <row r="668" s="573" customFormat="1" x14ac:dyDescent="0.3"/>
    <row r="669" s="573" customFormat="1" x14ac:dyDescent="0.3"/>
    <row r="670" s="573" customFormat="1" x14ac:dyDescent="0.3"/>
    <row r="671" s="573" customFormat="1" x14ac:dyDescent="0.3"/>
    <row r="672" s="573" customFormat="1" x14ac:dyDescent="0.3"/>
    <row r="673" s="573" customFormat="1" x14ac:dyDescent="0.3"/>
    <row r="674" s="573" customFormat="1" x14ac:dyDescent="0.3"/>
    <row r="675" s="573" customFormat="1" x14ac:dyDescent="0.3"/>
    <row r="676" s="573" customFormat="1" x14ac:dyDescent="0.3"/>
    <row r="677" s="573" customFormat="1" x14ac:dyDescent="0.3"/>
    <row r="678" s="573" customFormat="1" x14ac:dyDescent="0.3"/>
    <row r="679" s="573" customFormat="1" x14ac:dyDescent="0.3"/>
    <row r="680" s="573" customFormat="1" x14ac:dyDescent="0.3"/>
    <row r="681" s="573" customFormat="1" x14ac:dyDescent="0.3"/>
    <row r="682" s="573" customFormat="1" x14ac:dyDescent="0.3"/>
    <row r="683" s="573" customFormat="1" x14ac:dyDescent="0.3"/>
    <row r="684" s="573" customFormat="1" x14ac:dyDescent="0.3"/>
    <row r="685" s="573" customFormat="1" x14ac:dyDescent="0.3"/>
    <row r="686" s="573" customFormat="1" x14ac:dyDescent="0.3"/>
    <row r="687" s="573" customFormat="1" x14ac:dyDescent="0.3"/>
    <row r="688" s="573" customFormat="1" x14ac:dyDescent="0.3"/>
    <row r="689" s="573" customFormat="1" x14ac:dyDescent="0.3"/>
    <row r="690" s="573" customFormat="1" x14ac:dyDescent="0.3"/>
    <row r="691" s="573" customFormat="1" x14ac:dyDescent="0.3"/>
    <row r="692" s="573" customFormat="1" x14ac:dyDescent="0.3"/>
    <row r="693" s="573" customFormat="1" x14ac:dyDescent="0.3"/>
    <row r="694" s="573" customFormat="1" x14ac:dyDescent="0.3"/>
    <row r="695" s="573" customFormat="1" x14ac:dyDescent="0.3"/>
    <row r="696" s="573" customFormat="1" x14ac:dyDescent="0.3"/>
    <row r="697" s="573" customFormat="1" x14ac:dyDescent="0.3"/>
    <row r="698" s="573" customFormat="1" x14ac:dyDescent="0.3"/>
    <row r="699" s="573" customFormat="1" x14ac:dyDescent="0.3"/>
    <row r="700" s="573" customFormat="1" x14ac:dyDescent="0.3"/>
    <row r="701" s="573" customFormat="1" x14ac:dyDescent="0.3"/>
    <row r="702" s="573" customFormat="1" x14ac:dyDescent="0.3"/>
    <row r="703" s="573" customFormat="1" x14ac:dyDescent="0.3"/>
    <row r="704" s="573" customFormat="1" x14ac:dyDescent="0.3"/>
    <row r="705" s="573" customFormat="1" x14ac:dyDescent="0.3"/>
    <row r="706" s="573" customFormat="1" x14ac:dyDescent="0.3"/>
    <row r="707" s="573" customFormat="1" x14ac:dyDescent="0.3"/>
    <row r="708" s="573" customFormat="1" x14ac:dyDescent="0.3"/>
    <row r="709" s="573" customFormat="1" x14ac:dyDescent="0.3"/>
    <row r="710" s="573" customFormat="1" x14ac:dyDescent="0.3"/>
    <row r="711" s="573" customFormat="1" x14ac:dyDescent="0.3"/>
    <row r="712" s="573" customFormat="1" x14ac:dyDescent="0.3"/>
    <row r="713" s="573" customFormat="1" x14ac:dyDescent="0.3"/>
    <row r="714" s="573" customFormat="1" x14ac:dyDescent="0.3"/>
    <row r="715" s="573" customFormat="1" x14ac:dyDescent="0.3"/>
    <row r="716" s="573" customFormat="1" x14ac:dyDescent="0.3"/>
    <row r="717" s="573" customFormat="1" x14ac:dyDescent="0.3"/>
    <row r="718" s="573" customFormat="1" x14ac:dyDescent="0.3"/>
    <row r="719" s="573" customFormat="1" x14ac:dyDescent="0.3"/>
    <row r="720" s="573" customFormat="1" x14ac:dyDescent="0.3"/>
    <row r="721" s="573" customFormat="1" x14ac:dyDescent="0.3"/>
    <row r="722" s="573" customFormat="1" x14ac:dyDescent="0.3"/>
    <row r="723" s="573" customFormat="1" x14ac:dyDescent="0.3"/>
    <row r="724" s="573" customFormat="1" x14ac:dyDescent="0.3"/>
    <row r="725" s="573" customFormat="1" x14ac:dyDescent="0.3"/>
    <row r="726" s="573" customFormat="1" x14ac:dyDescent="0.3"/>
    <row r="727" s="573" customFormat="1" x14ac:dyDescent="0.3"/>
    <row r="728" s="573" customFormat="1" x14ac:dyDescent="0.3"/>
    <row r="729" s="573" customFormat="1" x14ac:dyDescent="0.3"/>
    <row r="730" s="573" customFormat="1" x14ac:dyDescent="0.3"/>
    <row r="731" s="573" customFormat="1" x14ac:dyDescent="0.3"/>
    <row r="732" s="573" customFormat="1" x14ac:dyDescent="0.3"/>
    <row r="733" s="573" customFormat="1" x14ac:dyDescent="0.3"/>
    <row r="734" s="573" customFormat="1" x14ac:dyDescent="0.3"/>
    <row r="735" s="573" customFormat="1" x14ac:dyDescent="0.3"/>
    <row r="736" s="573" customFormat="1" x14ac:dyDescent="0.3"/>
    <row r="737" s="573" customFormat="1" x14ac:dyDescent="0.3"/>
    <row r="738" s="573" customFormat="1" x14ac:dyDescent="0.3"/>
    <row r="739" s="573" customFormat="1" x14ac:dyDescent="0.3"/>
    <row r="740" s="573" customFormat="1" x14ac:dyDescent="0.3"/>
    <row r="741" s="573" customFormat="1" x14ac:dyDescent="0.3"/>
    <row r="742" s="573" customFormat="1" x14ac:dyDescent="0.3"/>
    <row r="743" s="573" customFormat="1" x14ac:dyDescent="0.3"/>
    <row r="744" s="573" customFormat="1" x14ac:dyDescent="0.3"/>
    <row r="745" s="573" customFormat="1" x14ac:dyDescent="0.3"/>
    <row r="746" s="573" customFormat="1" x14ac:dyDescent="0.3"/>
    <row r="747" s="573" customFormat="1" x14ac:dyDescent="0.3"/>
    <row r="748" s="573" customFormat="1" x14ac:dyDescent="0.3"/>
    <row r="749" s="573" customFormat="1" x14ac:dyDescent="0.3"/>
    <row r="750" s="573" customFormat="1" x14ac:dyDescent="0.3"/>
    <row r="751" s="573" customFormat="1" x14ac:dyDescent="0.3"/>
    <row r="752" s="573" customFormat="1" x14ac:dyDescent="0.3"/>
    <row r="753" s="573" customFormat="1" x14ac:dyDescent="0.3"/>
    <row r="754" s="573" customFormat="1" x14ac:dyDescent="0.3"/>
    <row r="755" s="573" customFormat="1" x14ac:dyDescent="0.3"/>
    <row r="756" s="573" customFormat="1" x14ac:dyDescent="0.3"/>
    <row r="757" s="573" customFormat="1" x14ac:dyDescent="0.3"/>
    <row r="758" s="573" customFormat="1" x14ac:dyDescent="0.3"/>
    <row r="759" s="573" customFormat="1" x14ac:dyDescent="0.3"/>
    <row r="760" s="573" customFormat="1" x14ac:dyDescent="0.3"/>
    <row r="761" s="573" customFormat="1" x14ac:dyDescent="0.3"/>
    <row r="762" s="573" customFormat="1" x14ac:dyDescent="0.3"/>
    <row r="763" s="573" customFormat="1" x14ac:dyDescent="0.3"/>
    <row r="764" s="573" customFormat="1" x14ac:dyDescent="0.3"/>
    <row r="765" s="573" customFormat="1" x14ac:dyDescent="0.3"/>
    <row r="766" s="573" customFormat="1" x14ac:dyDescent="0.3"/>
    <row r="767" s="573" customFormat="1" x14ac:dyDescent="0.3"/>
    <row r="768" s="573" customFormat="1" x14ac:dyDescent="0.3"/>
    <row r="769" s="573" customFormat="1" x14ac:dyDescent="0.3"/>
    <row r="770" s="573" customFormat="1" x14ac:dyDescent="0.3"/>
    <row r="771" s="573" customFormat="1" x14ac:dyDescent="0.3"/>
    <row r="772" s="573" customFormat="1" x14ac:dyDescent="0.3"/>
    <row r="773" s="573" customFormat="1" x14ac:dyDescent="0.3"/>
    <row r="774" s="573" customFormat="1" x14ac:dyDescent="0.3"/>
    <row r="775" s="573" customFormat="1" x14ac:dyDescent="0.3"/>
    <row r="776" s="573" customFormat="1" x14ac:dyDescent="0.3"/>
    <row r="777" s="573" customFormat="1" x14ac:dyDescent="0.3"/>
    <row r="778" s="573" customFormat="1" x14ac:dyDescent="0.3"/>
    <row r="779" s="573" customFormat="1" x14ac:dyDescent="0.3"/>
    <row r="780" s="573" customFormat="1" x14ac:dyDescent="0.3"/>
    <row r="781" s="573" customFormat="1" x14ac:dyDescent="0.3"/>
    <row r="782" s="573" customFormat="1" x14ac:dyDescent="0.3"/>
    <row r="783" s="573" customFormat="1" x14ac:dyDescent="0.3"/>
    <row r="784" s="573" customFormat="1" x14ac:dyDescent="0.3"/>
    <row r="785" s="573" customFormat="1" x14ac:dyDescent="0.3"/>
    <row r="786" s="573" customFormat="1" x14ac:dyDescent="0.3"/>
    <row r="787" s="573" customFormat="1" x14ac:dyDescent="0.3"/>
    <row r="788" s="573" customFormat="1" x14ac:dyDescent="0.3"/>
    <row r="789" s="573" customFormat="1" x14ac:dyDescent="0.3"/>
    <row r="790" s="573" customFormat="1" x14ac:dyDescent="0.3"/>
    <row r="791" s="573" customFormat="1" x14ac:dyDescent="0.3"/>
    <row r="792" s="573" customFormat="1" x14ac:dyDescent="0.3"/>
    <row r="793" s="573" customFormat="1" x14ac:dyDescent="0.3"/>
    <row r="794" s="573" customFormat="1" x14ac:dyDescent="0.3"/>
    <row r="795" s="573" customFormat="1" x14ac:dyDescent="0.3"/>
    <row r="796" s="573" customFormat="1" x14ac:dyDescent="0.3"/>
    <row r="797" s="573" customFormat="1" x14ac:dyDescent="0.3"/>
    <row r="798" s="573" customFormat="1" x14ac:dyDescent="0.3"/>
    <row r="799" s="573" customFormat="1" x14ac:dyDescent="0.3"/>
    <row r="800" s="573" customFormat="1" x14ac:dyDescent="0.3"/>
    <row r="801" s="573" customFormat="1" x14ac:dyDescent="0.3"/>
    <row r="802" s="573" customFormat="1" x14ac:dyDescent="0.3"/>
    <row r="803" s="573" customFormat="1" x14ac:dyDescent="0.3"/>
    <row r="804" s="573" customFormat="1" x14ac:dyDescent="0.3"/>
    <row r="805" s="573" customFormat="1" x14ac:dyDescent="0.3"/>
    <row r="806" s="573" customFormat="1" x14ac:dyDescent="0.3"/>
    <row r="807" s="573" customFormat="1" x14ac:dyDescent="0.3"/>
    <row r="808" s="573" customFormat="1" x14ac:dyDescent="0.3"/>
    <row r="809" s="573" customFormat="1" x14ac:dyDescent="0.3"/>
    <row r="810" s="573" customFormat="1" x14ac:dyDescent="0.3"/>
    <row r="811" s="573" customFormat="1" x14ac:dyDescent="0.3"/>
    <row r="812" s="573" customFormat="1" x14ac:dyDescent="0.3"/>
    <row r="813" s="573" customFormat="1" x14ac:dyDescent="0.3"/>
    <row r="814" s="573" customFormat="1" x14ac:dyDescent="0.3"/>
    <row r="815" s="573" customFormat="1" x14ac:dyDescent="0.3"/>
    <row r="816" s="573" customFormat="1" x14ac:dyDescent="0.3"/>
    <row r="817" s="573" customFormat="1" x14ac:dyDescent="0.3"/>
    <row r="818" s="573" customFormat="1" x14ac:dyDescent="0.3"/>
    <row r="819" s="573" customFormat="1" x14ac:dyDescent="0.3"/>
    <row r="820" s="573" customFormat="1" x14ac:dyDescent="0.3"/>
    <row r="821" s="573" customFormat="1" x14ac:dyDescent="0.3"/>
    <row r="822" s="573" customFormat="1" x14ac:dyDescent="0.3"/>
    <row r="823" s="573" customFormat="1" x14ac:dyDescent="0.3"/>
    <row r="824" s="573" customFormat="1" x14ac:dyDescent="0.3"/>
    <row r="825" s="573" customFormat="1" x14ac:dyDescent="0.3"/>
    <row r="826" s="573" customFormat="1" x14ac:dyDescent="0.3"/>
    <row r="827" s="573" customFormat="1" x14ac:dyDescent="0.3"/>
    <row r="828" s="573" customFormat="1" x14ac:dyDescent="0.3"/>
    <row r="829" s="573" customFormat="1" x14ac:dyDescent="0.3"/>
    <row r="830" s="573" customFormat="1" x14ac:dyDescent="0.3"/>
    <row r="831" s="573" customFormat="1" x14ac:dyDescent="0.3"/>
    <row r="832" s="573" customFormat="1" x14ac:dyDescent="0.3"/>
    <row r="833" s="573" customFormat="1" x14ac:dyDescent="0.3"/>
    <row r="834" s="573" customFormat="1" x14ac:dyDescent="0.3"/>
    <row r="835" s="573" customFormat="1" x14ac:dyDescent="0.3"/>
    <row r="836" s="573" customFormat="1" x14ac:dyDescent="0.3"/>
    <row r="837" s="573" customFormat="1" x14ac:dyDescent="0.3"/>
    <row r="838" s="573" customFormat="1" x14ac:dyDescent="0.3"/>
    <row r="839" s="573" customFormat="1" x14ac:dyDescent="0.3"/>
    <row r="840" s="573" customFormat="1" x14ac:dyDescent="0.3"/>
    <row r="841" s="573" customFormat="1" x14ac:dyDescent="0.3"/>
    <row r="842" s="573" customFormat="1" x14ac:dyDescent="0.3"/>
    <row r="843" s="573" customFormat="1" x14ac:dyDescent="0.3"/>
    <row r="844" s="573" customFormat="1" x14ac:dyDescent="0.3"/>
    <row r="845" s="573" customFormat="1" x14ac:dyDescent="0.3"/>
    <row r="846" s="573" customFormat="1" x14ac:dyDescent="0.3"/>
    <row r="847" s="573" customFormat="1" x14ac:dyDescent="0.3"/>
    <row r="848" s="573" customFormat="1" x14ac:dyDescent="0.3"/>
    <row r="849" s="573" customFormat="1" x14ac:dyDescent="0.3"/>
    <row r="850" s="573" customFormat="1" x14ac:dyDescent="0.3"/>
    <row r="851" s="573" customFormat="1" x14ac:dyDescent="0.3"/>
    <row r="852" s="573" customFormat="1" x14ac:dyDescent="0.3"/>
    <row r="853" s="573" customFormat="1" x14ac:dyDescent="0.3"/>
    <row r="854" s="573" customFormat="1" x14ac:dyDescent="0.3"/>
    <row r="855" s="573" customFormat="1" x14ac:dyDescent="0.3"/>
    <row r="856" s="573" customFormat="1" x14ac:dyDescent="0.3"/>
    <row r="857" s="573" customFormat="1" x14ac:dyDescent="0.3"/>
    <row r="858" s="573" customFormat="1" x14ac:dyDescent="0.3"/>
    <row r="859" s="573" customFormat="1" x14ac:dyDescent="0.3"/>
    <row r="860" s="573" customFormat="1" x14ac:dyDescent="0.3"/>
    <row r="861" s="573" customFormat="1" x14ac:dyDescent="0.3"/>
    <row r="862" s="573" customFormat="1" x14ac:dyDescent="0.3"/>
    <row r="863" s="573" customFormat="1" x14ac:dyDescent="0.3"/>
    <row r="864" s="573" customFormat="1" x14ac:dyDescent="0.3"/>
    <row r="865" s="573" customFormat="1" x14ac:dyDescent="0.3"/>
    <row r="866" s="573" customFormat="1" x14ac:dyDescent="0.3"/>
    <row r="867" s="573" customFormat="1" x14ac:dyDescent="0.3"/>
    <row r="868" s="573" customFormat="1" x14ac:dyDescent="0.3"/>
    <row r="869" s="573" customFormat="1" x14ac:dyDescent="0.3"/>
    <row r="870" s="573" customFormat="1" x14ac:dyDescent="0.3"/>
    <row r="871" s="573" customFormat="1" x14ac:dyDescent="0.3"/>
    <row r="872" s="573" customFormat="1" x14ac:dyDescent="0.3"/>
    <row r="873" s="573" customFormat="1" x14ac:dyDescent="0.3"/>
    <row r="874" s="573" customFormat="1" x14ac:dyDescent="0.3"/>
    <row r="875" s="573" customFormat="1" x14ac:dyDescent="0.3"/>
    <row r="876" s="573" customFormat="1" x14ac:dyDescent="0.3"/>
    <row r="877" s="573" customFormat="1" x14ac:dyDescent="0.3"/>
    <row r="878" s="573" customFormat="1" x14ac:dyDescent="0.3"/>
    <row r="879" s="573" customFormat="1" x14ac:dyDescent="0.3"/>
    <row r="880" s="573" customFormat="1" x14ac:dyDescent="0.3"/>
    <row r="881" s="573" customFormat="1" x14ac:dyDescent="0.3"/>
    <row r="882" s="573" customFormat="1" x14ac:dyDescent="0.3"/>
    <row r="883" s="573" customFormat="1" x14ac:dyDescent="0.3"/>
    <row r="884" s="573" customFormat="1" x14ac:dyDescent="0.3"/>
    <row r="885" s="573" customFormat="1" x14ac:dyDescent="0.3"/>
    <row r="886" s="573" customFormat="1" x14ac:dyDescent="0.3"/>
    <row r="887" s="573" customFormat="1" x14ac:dyDescent="0.3"/>
    <row r="888" s="573" customFormat="1" x14ac:dyDescent="0.3"/>
    <row r="889" s="573" customFormat="1" x14ac:dyDescent="0.3"/>
    <row r="890" s="573" customFormat="1" x14ac:dyDescent="0.3"/>
    <row r="891" s="573" customFormat="1" x14ac:dyDescent="0.3"/>
    <row r="892" s="573" customFormat="1" x14ac:dyDescent="0.3"/>
    <row r="893" s="573" customFormat="1" x14ac:dyDescent="0.3"/>
    <row r="894" s="573" customFormat="1" x14ac:dyDescent="0.3"/>
    <row r="895" s="573" customFormat="1" x14ac:dyDescent="0.3"/>
    <row r="896" s="573" customFormat="1" x14ac:dyDescent="0.3"/>
    <row r="897" s="573" customFormat="1" x14ac:dyDescent="0.3"/>
    <row r="898" s="573" customFormat="1" x14ac:dyDescent="0.3"/>
    <row r="899" s="573" customFormat="1" x14ac:dyDescent="0.3"/>
    <row r="900" s="573" customFormat="1" x14ac:dyDescent="0.3"/>
    <row r="901" s="573" customFormat="1" x14ac:dyDescent="0.3"/>
    <row r="902" s="573" customFormat="1" x14ac:dyDescent="0.3"/>
    <row r="903" s="573" customFormat="1" x14ac:dyDescent="0.3"/>
    <row r="904" s="573" customFormat="1" x14ac:dyDescent="0.3"/>
    <row r="905" s="573" customFormat="1" x14ac:dyDescent="0.3"/>
    <row r="906" s="573" customFormat="1" x14ac:dyDescent="0.3"/>
    <row r="907" s="573" customFormat="1" x14ac:dyDescent="0.3"/>
    <row r="908" s="573" customFormat="1" x14ac:dyDescent="0.3"/>
    <row r="909" s="573" customFormat="1" x14ac:dyDescent="0.3"/>
    <row r="910" s="573" customFormat="1" x14ac:dyDescent="0.3"/>
    <row r="911" s="573" customFormat="1" x14ac:dyDescent="0.3"/>
    <row r="912" s="573" customFormat="1" x14ac:dyDescent="0.3"/>
    <row r="913" s="573" customFormat="1" x14ac:dyDescent="0.3"/>
    <row r="914" s="573" customFormat="1" x14ac:dyDescent="0.3"/>
    <row r="915" s="573" customFormat="1" x14ac:dyDescent="0.3"/>
    <row r="916" s="573" customFormat="1" x14ac:dyDescent="0.3"/>
    <row r="917" s="573" customFormat="1" x14ac:dyDescent="0.3"/>
    <row r="918" s="573" customFormat="1" x14ac:dyDescent="0.3"/>
    <row r="919" s="573" customFormat="1" x14ac:dyDescent="0.3"/>
    <row r="920" s="573" customFormat="1" x14ac:dyDescent="0.3"/>
    <row r="921" s="573" customFormat="1" x14ac:dyDescent="0.3"/>
    <row r="922" s="573" customFormat="1" x14ac:dyDescent="0.3"/>
    <row r="923" s="573" customFormat="1" x14ac:dyDescent="0.3"/>
    <row r="924" s="573" customFormat="1" x14ac:dyDescent="0.3"/>
    <row r="925" s="573" customFormat="1" x14ac:dyDescent="0.3"/>
    <row r="926" s="573" customFormat="1" x14ac:dyDescent="0.3"/>
    <row r="927" s="573" customFormat="1" x14ac:dyDescent="0.3"/>
    <row r="928" s="573" customFormat="1" x14ac:dyDescent="0.3"/>
    <row r="929" s="573" customFormat="1" x14ac:dyDescent="0.3"/>
    <row r="930" s="573" customFormat="1" x14ac:dyDescent="0.3"/>
    <row r="931" s="573" customFormat="1" x14ac:dyDescent="0.3"/>
    <row r="932" s="573" customFormat="1" x14ac:dyDescent="0.3"/>
    <row r="933" s="573" customFormat="1" x14ac:dyDescent="0.3"/>
    <row r="934" s="573" customFormat="1" x14ac:dyDescent="0.3"/>
    <row r="935" s="573" customFormat="1" x14ac:dyDescent="0.3"/>
    <row r="936" s="573" customFormat="1" x14ac:dyDescent="0.3"/>
    <row r="937" s="573" customFormat="1" x14ac:dyDescent="0.3"/>
    <row r="938" s="573" customFormat="1" x14ac:dyDescent="0.3"/>
    <row r="939" s="573" customFormat="1" x14ac:dyDescent="0.3"/>
    <row r="940" s="573" customFormat="1" x14ac:dyDescent="0.3"/>
    <row r="941" s="573" customFormat="1" x14ac:dyDescent="0.3"/>
    <row r="942" s="573" customFormat="1" x14ac:dyDescent="0.3"/>
    <row r="943" s="573" customFormat="1" x14ac:dyDescent="0.3"/>
    <row r="944" s="573" customFormat="1" x14ac:dyDescent="0.3"/>
    <row r="945" s="573" customFormat="1" x14ac:dyDescent="0.3"/>
    <row r="946" s="573" customFormat="1" x14ac:dyDescent="0.3"/>
    <row r="947" s="573" customFormat="1" x14ac:dyDescent="0.3"/>
    <row r="948" s="573" customFormat="1" x14ac:dyDescent="0.3"/>
    <row r="949" s="573" customFormat="1" x14ac:dyDescent="0.3"/>
    <row r="950" s="573" customFormat="1" x14ac:dyDescent="0.3"/>
    <row r="951" s="573" customFormat="1" x14ac:dyDescent="0.3"/>
    <row r="952" s="573" customFormat="1" x14ac:dyDescent="0.3"/>
    <row r="953" s="573" customFormat="1" x14ac:dyDescent="0.3"/>
    <row r="954" s="573" customFormat="1" x14ac:dyDescent="0.3"/>
    <row r="955" s="573" customFormat="1" x14ac:dyDescent="0.3"/>
    <row r="956" s="573" customFormat="1" x14ac:dyDescent="0.3"/>
    <row r="957" s="573" customFormat="1" x14ac:dyDescent="0.3"/>
    <row r="958" s="573" customFormat="1" x14ac:dyDescent="0.3"/>
    <row r="959" s="573" customFormat="1" x14ac:dyDescent="0.3"/>
    <row r="960" s="573" customFormat="1" x14ac:dyDescent="0.3"/>
    <row r="961" s="573" customFormat="1" x14ac:dyDescent="0.3"/>
    <row r="962" s="573" customFormat="1" x14ac:dyDescent="0.3"/>
    <row r="963" s="573" customFormat="1" x14ac:dyDescent="0.3"/>
    <row r="964" s="573" customFormat="1" x14ac:dyDescent="0.3"/>
    <row r="965" s="573" customFormat="1" x14ac:dyDescent="0.3"/>
    <row r="966" s="573" customFormat="1" x14ac:dyDescent="0.3"/>
    <row r="967" s="573" customFormat="1" x14ac:dyDescent="0.3"/>
    <row r="968" s="573" customFormat="1" x14ac:dyDescent="0.3"/>
    <row r="969" s="573" customFormat="1" x14ac:dyDescent="0.3"/>
    <row r="970" s="573" customFormat="1" x14ac:dyDescent="0.3"/>
    <row r="971" s="573" customFormat="1" x14ac:dyDescent="0.3"/>
    <row r="972" s="573" customFormat="1" x14ac:dyDescent="0.3"/>
    <row r="973" s="573" customFormat="1" x14ac:dyDescent="0.3"/>
    <row r="974" s="573" customFormat="1" x14ac:dyDescent="0.3"/>
    <row r="975" s="573" customFormat="1" x14ac:dyDescent="0.3"/>
    <row r="976" s="573" customFormat="1" x14ac:dyDescent="0.3"/>
    <row r="977" s="573" customFormat="1" x14ac:dyDescent="0.3"/>
    <row r="978" s="573" customFormat="1" x14ac:dyDescent="0.3"/>
    <row r="979" s="573" customFormat="1" x14ac:dyDescent="0.3"/>
    <row r="980" s="573" customFormat="1" x14ac:dyDescent="0.3"/>
    <row r="981" s="573" customFormat="1" x14ac:dyDescent="0.3"/>
    <row r="982" s="573" customFormat="1" x14ac:dyDescent="0.3"/>
    <row r="983" s="573" customFormat="1" x14ac:dyDescent="0.3"/>
    <row r="984" s="573" customFormat="1" x14ac:dyDescent="0.3"/>
    <row r="985" s="573" customFormat="1" x14ac:dyDescent="0.3"/>
    <row r="986" s="573" customFormat="1" x14ac:dyDescent="0.3"/>
    <row r="987" s="573" customFormat="1" x14ac:dyDescent="0.3"/>
    <row r="988" s="573" customFormat="1" x14ac:dyDescent="0.3"/>
  </sheetData>
  <mergeCells count="45">
    <mergeCell ref="R159:X162"/>
    <mergeCell ref="AF159:AJ162"/>
    <mergeCell ref="BA127:BD130"/>
    <mergeCell ref="R141:X144"/>
    <mergeCell ref="AF141:AJ144"/>
    <mergeCell ref="R147:X150"/>
    <mergeCell ref="AF147:AJ150"/>
    <mergeCell ref="R153:X156"/>
    <mergeCell ref="AF153:AJ156"/>
    <mergeCell ref="AZ85:BK88"/>
    <mergeCell ref="AZ92:BK95"/>
    <mergeCell ref="AN120:AP123"/>
    <mergeCell ref="BA120:BD123"/>
    <mergeCell ref="C124:F127"/>
    <mergeCell ref="H124:L127"/>
    <mergeCell ref="O124:Q127"/>
    <mergeCell ref="U124:W127"/>
    <mergeCell ref="AD127:AG130"/>
    <mergeCell ref="AN127:AP130"/>
    <mergeCell ref="AZ78:BK81"/>
    <mergeCell ref="D81:I84"/>
    <mergeCell ref="L81:Q84"/>
    <mergeCell ref="U81:Z84"/>
    <mergeCell ref="AB81:AD84"/>
    <mergeCell ref="AG81:AK84"/>
    <mergeCell ref="AP81:AS84"/>
    <mergeCell ref="AJ54:AM56"/>
    <mergeCell ref="AO54:BC56"/>
    <mergeCell ref="AZ59:BE62"/>
    <mergeCell ref="BG59:BI62"/>
    <mergeCell ref="P64:AR67"/>
    <mergeCell ref="AX64:AZ67"/>
    <mergeCell ref="AO44:BC46"/>
    <mergeCell ref="C46:I49"/>
    <mergeCell ref="O46:R49"/>
    <mergeCell ref="T46:W49"/>
    <mergeCell ref="Y46:AB49"/>
    <mergeCell ref="AJ49:AM51"/>
    <mergeCell ref="AO49:BC51"/>
    <mergeCell ref="C6:K9"/>
    <mergeCell ref="AA6:AB8"/>
    <mergeCell ref="B16:G19"/>
    <mergeCell ref="I16:K19"/>
    <mergeCell ref="P16:Q19"/>
    <mergeCell ref="AJ44:AM46"/>
  </mergeCells>
  <pageMargins left="0.511811024" right="0.511811024" top="0.78740157499999996" bottom="0.78740157499999996" header="0.31496062000000002" footer="0.31496062000000002"/>
  <pageSetup paperSize="9" orientation="portrait" r:id="rId1"/>
  <headerFooter>
    <oddFooter>&amp;L&amp;1#&amp;"Trebuchet MS"&amp;9&amp;K008542INTERNA</oddFooter>
  </headerFooter>
  <drawing r:id="rId2"/>
  <pictur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6A8DF5E5702C6147AF9760FD352CFB71" ma:contentTypeVersion="15" ma:contentTypeDescription="Crie um novo documento." ma:contentTypeScope="" ma:versionID="19b0d648068b5a74013351e17caa99e6">
  <xsd:schema xmlns:xsd="http://www.w3.org/2001/XMLSchema" xmlns:xs="http://www.w3.org/2001/XMLSchema" xmlns:p="http://schemas.microsoft.com/office/2006/metadata/properties" xmlns:ns2="2d95f412-3bf1-4e72-8bc8-cd4d169695c2" xmlns:ns3="9e2f794e-97e6-42fa-a5c4-ec6e5c88b554" targetNamespace="http://schemas.microsoft.com/office/2006/metadata/properties" ma:root="true" ma:fieldsID="7fc62a91d0929eafadf711ff7d60436d" ns2:_="" ns3:_="">
    <xsd:import namespace="2d95f412-3bf1-4e72-8bc8-cd4d169695c2"/>
    <xsd:import namespace="9e2f794e-97e6-42fa-a5c4-ec6e5c88b55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95f412-3bf1-4e72-8bc8-cd4d169695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Marcações de imagem" ma:readOnly="false" ma:fieldId="{5cf76f15-5ced-4ddc-b409-7134ff3c332f}" ma:taxonomyMulti="true" ma:sspId="d566a8fd-94ed-4d49-8999-3a54f140f053"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e2f794e-97e6-42fa-a5c4-ec6e5c88b554"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element name="TaxCatchAll" ma:index="16" nillable="true" ma:displayName="Taxonomy Catch All Column" ma:hidden="true" ma:list="{ea50edc5-57fe-47c3-a63c-f6856be61c1e}" ma:internalName="TaxCatchAll" ma:showField="CatchAllData" ma:web="9e2f794e-97e6-42fa-a5c4-ec6e5c88b5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9e2f794e-97e6-42fa-a5c4-ec6e5c88b554" xsi:nil="true"/>
    <lcf76f155ced4ddcb4097134ff3c332f xmlns="2d95f412-3bf1-4e72-8bc8-cd4d169695c2">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40A463-5179-484C-9AD9-6150B3CE838D}"/>
</file>

<file path=customXml/itemProps2.xml><?xml version="1.0" encoding="utf-8"?>
<ds:datastoreItem xmlns:ds="http://schemas.openxmlformats.org/officeDocument/2006/customXml" ds:itemID="{7286FB7E-2F8B-4C25-AC33-B8C0503A3D28}">
  <ds:schemaRefs>
    <ds:schemaRef ds:uri="http://schemas.microsoft.com/office/2006/metadata/properties"/>
    <ds:schemaRef ds:uri="http://schemas.microsoft.com/office/infopath/2007/PartnerControls"/>
    <ds:schemaRef ds:uri="3790e345-74fc-4296-bd20-d69dea5b7ca1"/>
    <ds:schemaRef ds:uri="64418b58-0466-452f-8887-b5c04186e00b"/>
  </ds:schemaRefs>
</ds:datastoreItem>
</file>

<file path=customXml/itemProps3.xml><?xml version="1.0" encoding="utf-8"?>
<ds:datastoreItem xmlns:ds="http://schemas.openxmlformats.org/officeDocument/2006/customXml" ds:itemID="{8E63E63B-9268-4098-99EC-41DFE943962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5</vt:i4>
      </vt:variant>
    </vt:vector>
  </HeadingPairs>
  <TitlesOfParts>
    <vt:vector size="11" baseType="lpstr">
      <vt:lpstr>BTP_CORRIGIDO</vt:lpstr>
      <vt:lpstr>BTP_Original</vt:lpstr>
      <vt:lpstr>Tutorial</vt:lpstr>
      <vt:lpstr>Plan1</vt:lpstr>
      <vt:lpstr>vaporH2O</vt:lpstr>
      <vt:lpstr>Mascara_SIP</vt:lpstr>
      <vt:lpstr>BTP_CORRIGIDO!Area_de_impressao</vt:lpstr>
      <vt:lpstr>BTP_Original!Area_de_impressao</vt:lpstr>
      <vt:lpstr>Tutorial!Area_de_impressao</vt:lpstr>
      <vt:lpstr>BTP_CORRIGIDO!ListaPoços</vt:lpstr>
      <vt:lpstr>ListaPoços</vt:lpstr>
    </vt:vector>
  </TitlesOfParts>
  <Manager/>
  <Company>Petrobras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Petrobras</dc:creator>
  <cp:keywords/>
  <dc:description/>
  <cp:lastModifiedBy>Cesar Fernandes Sousa</cp:lastModifiedBy>
  <cp:revision/>
  <dcterms:created xsi:type="dcterms:W3CDTF">2010-11-16T15:30:12Z</dcterms:created>
  <dcterms:modified xsi:type="dcterms:W3CDTF">2024-01-30T18:02:29Z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e61996e-cafd-4c9a-8a94-2dc1b82131ae_Enabled">
    <vt:lpwstr>true</vt:lpwstr>
  </property>
  <property fmtid="{D5CDD505-2E9C-101B-9397-08002B2CF9AE}" pid="3" name="MSIP_Label_8e61996e-cafd-4c9a-8a94-2dc1b82131ae_SetDate">
    <vt:lpwstr>2020-09-02T20:51:46Z</vt:lpwstr>
  </property>
  <property fmtid="{D5CDD505-2E9C-101B-9397-08002B2CF9AE}" pid="4" name="MSIP_Label_8e61996e-cafd-4c9a-8a94-2dc1b82131ae_Method">
    <vt:lpwstr>Standard</vt:lpwstr>
  </property>
  <property fmtid="{D5CDD505-2E9C-101B-9397-08002B2CF9AE}" pid="5" name="MSIP_Label_8e61996e-cafd-4c9a-8a94-2dc1b82131ae_Name">
    <vt:lpwstr>NP-1</vt:lpwstr>
  </property>
  <property fmtid="{D5CDD505-2E9C-101B-9397-08002B2CF9AE}" pid="6" name="MSIP_Label_8e61996e-cafd-4c9a-8a94-2dc1b82131ae_SiteId">
    <vt:lpwstr>5b6f6241-9a57-4be4-8e50-1dfa72e79a57</vt:lpwstr>
  </property>
  <property fmtid="{D5CDD505-2E9C-101B-9397-08002B2CF9AE}" pid="7" name="MSIP_Label_8e61996e-cafd-4c9a-8a94-2dc1b82131ae_ActionId">
    <vt:lpwstr>4a5d03b9-f448-49d5-a783-776e095aca14</vt:lpwstr>
  </property>
  <property fmtid="{D5CDD505-2E9C-101B-9397-08002B2CF9AE}" pid="8" name="MSIP_Label_8e61996e-cafd-4c9a-8a94-2dc1b82131ae_ContentBits">
    <vt:lpwstr>0</vt:lpwstr>
  </property>
  <property fmtid="{D5CDD505-2E9C-101B-9397-08002B2CF9AE}" pid="9" name="ContentTypeId">
    <vt:lpwstr>0x0101006A8DF5E5702C6147AF9760FD352CFB71</vt:lpwstr>
  </property>
  <property fmtid="{D5CDD505-2E9C-101B-9397-08002B2CF9AE}" pid="10" name="MediaServiceImageTags">
    <vt:lpwstr/>
  </property>
</Properties>
</file>